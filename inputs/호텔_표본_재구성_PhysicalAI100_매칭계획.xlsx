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af2e745cf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al_AI_Final_100" sheetId="1" r:id="R7893f48facee4466"/>
    <x:sheet xmlns:r="http://schemas.openxmlformats.org/officeDocument/2006/relationships" name="Excluded_9" sheetId="2" r:id="R39441dcaf2f04513"/>
    <x:sheet xmlns:r="http://schemas.openxmlformats.org/officeDocument/2006/relationships" name="Control_Seed_Pool" sheetId="3" r:id="R9259e60f074245a4"/>
    <x:sheet xmlns:r="http://schemas.openxmlformats.org/officeDocument/2006/relationships" name="Matching_Targets" sheetId="4" r:id="R335324ac3f384b65"/>
    <x:sheet xmlns:r="http://schemas.openxmlformats.org/officeDocument/2006/relationships" name="Summary" sheetId="5" r:id="R408a87479bd24a85"/>
    <x:sheet xmlns:r="http://schemas.openxmlformats.org/officeDocument/2006/relationships" name="Method_Notes" sheetId="6" r:id="Rdd08a5156a0d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0F4C5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3" fillId="5" borderId="5" xfId="0" applyNumberFormat="1" applyFont="1" applyFill="1" applyBorder="1"/>
    <x:xf numFmtId="0" fontId="3" fillId="5" borderId="7" xfId="0" applyNumberFormat="1" applyFont="1" applyFill="1" applyBorder="1"/>
    <x:xf numFmtId="0" fontId="3" fillId="5" borderId="5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3" fillId="5" borderId="13" xfId="0" applyNumberFormat="1" applyFont="1" applyFill="1" applyBorder="1"/>
    <x:xf numFmtId="0" fontId="3" fillId="5" borderId="15" xfId="0" applyNumberFormat="1" applyFont="1" applyFill="1" applyBorder="1"/>
    <x:xf numFmtId="0" fontId="3" fillId="5" borderId="13" xfId="0" applyNumberFormat="1" applyFont="1" applyFill="1" applyBorder="1" applyAlignment="1">
      <x:alignment vertical="center"/>
    </x:xf>
    <x:xf numFmtId="0" fontId="3" fillId="5" borderId="1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b0c481d634f2d" /><Relationship Type="http://schemas.openxmlformats.org/officeDocument/2006/relationships/theme" Target="/xl/theme/theme1.xml" Id="R3c168c9aeeb44faa" /><Relationship Type="http://schemas.openxmlformats.org/officeDocument/2006/relationships/sharedStrings" Target="/xl/sharedStrings.xml" Id="R2702a521c65e437d" /><Relationship Type="http://schemas.openxmlformats.org/officeDocument/2006/relationships/worksheet" Target="/xl/worksheets/sheet1.xml" Id="R7893f48facee4466" /><Relationship Type="http://schemas.openxmlformats.org/officeDocument/2006/relationships/worksheet" Target="/xl/worksheets/sheet2.xml" Id="R39441dcaf2f04513" /><Relationship Type="http://schemas.openxmlformats.org/officeDocument/2006/relationships/worksheet" Target="/xl/worksheets/sheet3.xml" Id="R9259e60f074245a4" /><Relationship Type="http://schemas.openxmlformats.org/officeDocument/2006/relationships/worksheet" Target="/xl/worksheets/sheet4.xml" Id="R335324ac3f384b65" /><Relationship Type="http://schemas.openxmlformats.org/officeDocument/2006/relationships/worksheet" Target="/xl/worksheets/sheet5.xml" Id="R408a87479bd24a85" /><Relationship Type="http://schemas.openxmlformats.org/officeDocument/2006/relationships/worksheet" Target="/xl/worksheets/sheet6.xml" Id="Rdd08a5156a0d41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30accf3e6d4b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Final Physical AI Hotels by Country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Physical_AI_N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30accf3e6d4b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ysicalAIFinalTable" displayName="PhysicalAIFinalTable" ref="A1:O101" headerRowCount="1" totalsRowCount="0" totalsRowShown="0">
  <x:tableColumns count="15">
    <x:tableColumn id="1" name="Final_No"/>
    <x:tableColumn id="2" name="Original_No"/>
    <x:tableColumn id="3" name="Country"/>
    <x:tableColumn id="4" name="City"/>
    <x:tableColumn id="5" name="Hotel"/>
    <x:tableColumn id="6" name="Brand/Chain"/>
    <x:tableColumn id="7" name="Sample_Action"/>
    <x:tableColumn id="8" name="Final_Class"/>
    <x:tableColumn id="9" name="Physical_AI_Type"/>
    <x:tableColumn id="10" name="Validation_Status"/>
    <x:tableColumn id="11" name="Confidence"/>
    <x:tableColumn id="12" name="Inclusion_Rationale"/>
    <x:tableColumn id="13" name="Evidence_URL"/>
    <x:tableColumn id="14" name="Trip.com_Detail"/>
    <x:tableColumn id="15" name="Trip.com_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dedTable" displayName="ExcludedTable" ref="A1:K10" headerRowCount="1" totalsRowCount="0" totalsRowShown="0">
  <x:tableColumns count="11">
    <x:tableColumn id="1" name="Original_No"/>
    <x:tableColumn id="2" name="Country"/>
    <x:tableColumn id="3" name="City"/>
    <x:tableColumn id="4" name="Hotel"/>
    <x:tableColumn id="5" name="Previous_Type"/>
    <x:tableColumn id="6" name="New_Class"/>
    <x:tableColumn id="7" name="Decision"/>
    <x:tableColumn id="8" name="Exclusion_Rationale"/>
    <x:tableColumn id="9" name="Evidence_URL"/>
    <x:tableColumn id="10" name="Trip.com_Detail"/>
    <x:tableColumn id="11" name="Trip.com_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SeedTable" displayName="ControlSeedTable" ref="A1:N104" headerRowCount="1" totalsRowCount="0" totalsRowShown="0">
  <x:tableColumns count="14">
    <x:tableColumn id="1" name="Source_ID"/>
    <x:tableColumn id="2" name="Country"/>
    <x:tableColumn id="3" name="City"/>
    <x:tableColumn id="4" name="Hotel"/>
    <x:tableColumn id="5" name="Trip.com_Star"/>
    <x:tableColumn id="6" name="Trip.com_Registered"/>
    <x:tableColumn id="7" name="Service_Robot_Public"/>
    <x:tableColumn id="8" name="Human_Frontdesk"/>
    <x:tableColumn id="9" name="Validation_Grade"/>
    <x:tableColumn id="10" name="Seed_Status"/>
    <x:tableColumn id="11" name="Matching_Note"/>
    <x:tableColumn id="12" name="Evidence_URL"/>
    <x:tableColumn id="13" name="Trip.com_Detail"/>
    <x:tableColumn id="14" name="Trip.com_Revie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chingTargetsTable" displayName="MatchingTargetsTable" ref="A1:G30" headerRowCount="1" totalsRowCount="0" totalsRowShown="0">
  <x:tableColumns count="7">
    <x:tableColumn id="1" name="Country"/>
    <x:tableColumn id="2" name="City"/>
    <x:tableColumn id="3" name="Physical_AI_N"/>
    <x:tableColumn id="4" name="Same_City_Control_Pool_N"/>
    <x:tableColumn id="5" name="Potential_Covered_N"/>
    <x:tableColumn id="6" name="New_Controls_Needed"/>
    <x:tableColumn id="7" name="Priority/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0ff9bd42fa4f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f1d4e5236b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a81012f0bf4c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d3ffa663c647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fa3949fa4aa43d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14" hidden="0" customWidth="1"/>
    <x:col min="4" max="4" width="14" hidden="0" customWidth="1"/>
    <x:col min="5" max="5" width="38" hidden="0" customWidth="1"/>
    <x:col min="6" max="6" width="18" hidden="0" customWidth="1"/>
    <x:col min="7" max="7" width="18" hidden="0" customWidth="1"/>
    <x:col min="8" max="8" width="15" hidden="0" customWidth="1"/>
    <x:col min="9" max="9" width="28" hidden="0" customWidth="1"/>
    <x:col min="10" max="10" width="28" hidden="0" customWidth="1"/>
    <x:col min="11" max="11" width="13" hidden="0" customWidth="1"/>
    <x:col min="12" max="12" width="42" hidden="0" customWidth="1"/>
    <x:col min="13" max="13" width="45" hidden="0" customWidth="1"/>
    <x:col min="14" max="14" width="45" hidden="0" customWidth="1"/>
    <x:col min="15" max="15" width="45" hidden="0" customWidth="1"/>
  </x:cols>
  <x:sheetData>
    <x:row r="1" ht="34" customHeight="1">
      <x:c r="A1" s="12" t="str">
        <x:v>Final_No</x:v>
      </x:c>
      <x:c r="B1" s="13" t="str">
        <x:v>Original_No</x:v>
      </x:c>
      <x:c r="C1" s="13" t="str">
        <x:v>Country</x:v>
      </x:c>
      <x:c r="D1" s="13" t="str">
        <x:v>City</x:v>
      </x:c>
      <x:c r="E1" s="13" t="str">
        <x:v>Hotel</x:v>
      </x:c>
      <x:c r="F1" s="13" t="str">
        <x:v>Brand/Chain</x:v>
      </x:c>
      <x:c r="G1" s="13" t="str">
        <x:v>Sample_Action</x:v>
      </x:c>
      <x:c r="H1" s="13" t="str">
        <x:v>Final_Class</x:v>
      </x:c>
      <x:c r="I1" s="13" t="str">
        <x:v>Physical_AI_Type</x:v>
      </x:c>
      <x:c r="J1" s="13" t="str">
        <x:v>Validation_Status</x:v>
      </x:c>
      <x:c r="K1" s="13" t="str">
        <x:v>Confidence</x:v>
      </x:c>
      <x:c r="L1" s="13" t="str">
        <x:v>Inclusion_Rationale</x:v>
      </x:c>
      <x:c r="M1" s="13" t="str">
        <x:v>Evidence_URL</x:v>
      </x:c>
      <x:c r="N1" s="13" t="str">
        <x:v>Trip.com_Detail</x:v>
      </x:c>
      <x:c r="O1" s="14" t="str">
        <x:v>Trip.com_Review</x:v>
      </x:c>
    </x:row>
    <x:row r="2">
      <x:c r="A2" s="29" t="n">
        <x:v>1</x:v>
      </x:c>
      <x:c r="B2" s="30" t="n">
        <x:v>2</x:v>
      </x:c>
      <x:c r="C2" s="30" t="str">
        <x:v>Japan</x:v>
      </x:c>
      <x:c r="D2" s="30" t="str">
        <x:v>Urayasu</x:v>
      </x:c>
      <x:c r="E2" s="41" t="str">
        <x:v>Henn na Hotel Maihama Tokyo Bay</x:v>
      </x:c>
      <x:c r="F2" s="41" t="str">
        <x:v>Henn na Hotel</x:v>
      </x:c>
      <x:c r="G2" s="41" t="str">
        <x:v>RETAIN</x:v>
      </x:c>
      <x:c r="H2" s="41" t="str">
        <x:v>PHYSICAL_AI</x:v>
      </x:c>
      <x:c r="I2" s="41" t="str">
        <x:v>공룡 로봇 프런트/자동 체크인</x:v>
      </x:c>
      <x:c r="J2" s="41" t="str">
        <x:v>KEEP_CONFIRMED_PHYSICAL_ROBOT</x:v>
      </x:c>
      <x:c r="K2" s="41" t="str">
        <x:v>HIGH</x:v>
      </x:c>
      <x:c r="L2" s="41" t="str">
        <x:v>Henn-na 공식 기술/지점 정보 또는 현행 Trip.com에서 물리적 로봇 운영 근거 확인</x:v>
      </x:c>
      <x:c r="M2" s="41" t="str">
        <x:v>https://global.hennnahotel.com/en/</x:v>
      </x:c>
      <x:c r="N2" s="41" t="str">
        <x:v>https://www.trip.com/hotels/urayasu-hotel-detail-7004012/henn-na-hotel-maihama-tokyo-bay/</x:v>
      </x:c>
      <x:c r="O2" s="42" t="str">
        <x:v>https://www.trip.com/hotels/urayasu-hotel-detail-7004012/henn-na-hotel-maihama-tokyo-bay/review.html</x:v>
      </x:c>
    </x:row>
    <x:row r="3">
      <x:c r="A3" s="29" t="n">
        <x:v>2</x:v>
      </x:c>
      <x:c r="B3" s="30" t="n">
        <x:v>3</x:v>
      </x:c>
      <x:c r="C3" s="30" t="str">
        <x:v>Japan</x:v>
      </x:c>
      <x:c r="D3" s="30" t="str">
        <x:v>Tokyo</x:v>
      </x:c>
      <x:c r="E3" s="41" t="str">
        <x:v>Henn na Hotel Tokyo Nishikasai</x:v>
      </x:c>
      <x:c r="F3" s="41" t="str">
        <x:v>Henn na Hotel</x:v>
      </x:c>
      <x:c r="G3" s="41" t="str">
        <x:v>RETAIN</x:v>
      </x:c>
      <x:c r="H3" s="41" t="str">
        <x:v>PHYSICAL_AI</x:v>
      </x:c>
      <x:c r="I3" s="41" t="str">
        <x:v>로봇 프런트/자동 체크인</x:v>
      </x:c>
      <x:c r="J3" s="41" t="str">
        <x:v>KEEP_CONFIRMED_PHYSICAL_ROBOT</x:v>
      </x:c>
      <x:c r="K3" s="41" t="str">
        <x:v>HIGH</x:v>
      </x:c>
      <x:c r="L3" s="41" t="str">
        <x:v>Henn-na 공식 기술/지점 정보 또는 현행 Trip.com에서 물리적 로봇 운영 근거 확인</x:v>
      </x:c>
      <x:c r="M3" s="41" t="str">
        <x:v>https://global.hennnahotel.com/en/nishikasai/</x:v>
      </x:c>
      <x:c r="N3" s="41" t="str">
        <x:v>https://www.trip.com/hotels/tokyo-hotel-detail-9825135/henn-na-hotel-tokyo-nishikasai/</x:v>
      </x:c>
      <x:c r="O3" s="42" t="str">
        <x:v>https://www.trip.com/hotels/tokyo-hotel-detail-9825135/henn-na-hotel-tokyo-nishikasai/review.html</x:v>
      </x:c>
    </x:row>
    <x:row r="4">
      <x:c r="A4" s="29" t="n">
        <x:v>3</x:v>
      </x:c>
      <x:c r="B4" s="30" t="n">
        <x:v>4</x:v>
      </x:c>
      <x:c r="C4" s="30" t="str">
        <x:v>Japan</x:v>
      </x:c>
      <x:c r="D4" s="30" t="str">
        <x:v>Tokyo</x:v>
      </x:c>
      <x:c r="E4" s="41" t="str">
        <x:v>Henn na Hotel Tokyo Ginza</x:v>
      </x:c>
      <x:c r="F4" s="41" t="str">
        <x:v>Henn na Hotel</x:v>
      </x:c>
      <x:c r="G4" s="41" t="str">
        <x:v>RETAIN</x:v>
      </x:c>
      <x:c r="H4" s="41" t="str">
        <x:v>PHYSICAL_AI</x:v>
      </x:c>
      <x:c r="I4" s="41" t="str">
        <x:v>휴머노이드/자동 체크인</x:v>
      </x:c>
      <x:c r="J4" s="41" t="str">
        <x:v>KEEP_CONFIRMED_PHYSICAL_ROBOT</x:v>
      </x:c>
      <x:c r="K4" s="41" t="str">
        <x:v>HIGH</x:v>
      </x:c>
      <x:c r="L4" s="41" t="str">
        <x:v>Henn-na 공식 기술/지점 정보 또는 현행 Trip.com에서 물리적 로봇 운영 근거 확인</x:v>
      </x:c>
      <x:c r="M4" s="41" t="str">
        <x:v>https://global.hennnahotel.com/en/</x:v>
      </x:c>
      <x:c r="N4" s="41" t="str">
        <x:v>https://www.trip.com/hotels/tokyo-hotel-detail-10163720/henn-na-hotel-tokyo-ginza/</x:v>
      </x:c>
      <x:c r="O4" s="42" t="str">
        <x:v>https://www.trip.com/hotels/tokyo-hotel-detail-10163720/henn-na-hotel-tokyo-ginza/review.html</x:v>
      </x:c>
    </x:row>
    <x:row r="5">
      <x:c r="A5" s="29" t="n">
        <x:v>4</x:v>
      </x:c>
      <x:c r="B5" s="30" t="n">
        <x:v>5</x:v>
      </x:c>
      <x:c r="C5" s="30" t="str">
        <x:v>Japan</x:v>
      </x:c>
      <x:c r="D5" s="30" t="str">
        <x:v>Tokyo</x:v>
      </x:c>
      <x:c r="E5" s="41" t="str">
        <x:v>Henn na Hotel Tokyo Hamamatsucho</x:v>
      </x:c>
      <x:c r="F5" s="41" t="str">
        <x:v>Henn na Hotel</x:v>
      </x:c>
      <x:c r="G5" s="41" t="str">
        <x:v>RETAIN</x:v>
      </x:c>
      <x:c r="H5" s="41" t="str">
        <x:v>PHYSICAL_AI</x:v>
      </x:c>
      <x:c r="I5" s="41" t="str">
        <x:v>로봇 체크인</x:v>
      </x:c>
      <x:c r="J5" s="41" t="str">
        <x:v>KEEP_CONFIRMED_PHYSICAL_ROBOT</x:v>
      </x:c>
      <x:c r="K5" s="41" t="str">
        <x:v>HIGH</x:v>
      </x:c>
      <x:c r="L5" s="41" t="str">
        <x:v>Henn-na 공식 기술/지점 정보 또는 현행 Trip.com에서 물리적 로봇 운영 근거 확인</x:v>
      </x:c>
      <x:c r="M5" s="41" t="str">
        <x:v>https://global.hennnahotel.com/en/</x:v>
      </x:c>
      <x:c r="N5" s="41" t="str">
        <x:v>https://www.trip.com/hotels/tokyo-hotel-detail-12081368/henn-na-hotel-tokyo-hamamatsucho/</x:v>
      </x:c>
      <x:c r="O5" s="42" t="str">
        <x:v>https://www.trip.com/hotels/tokyo-hotel-detail-12081368/henn-na-hotel-tokyo-hamamatsucho/review.html</x:v>
      </x:c>
    </x:row>
    <x:row r="6">
      <x:c r="A6" s="29" t="n">
        <x:v>5</x:v>
      </x:c>
      <x:c r="B6" s="30" t="n">
        <x:v>6</x:v>
      </x:c>
      <x:c r="C6" s="30" t="str">
        <x:v>Japan</x:v>
      </x:c>
      <x:c r="D6" s="30" t="str">
        <x:v>Tokyo</x:v>
      </x:c>
      <x:c r="E6" s="41" t="str">
        <x:v>Henn na Hotel Tokyo Akasaka</x:v>
      </x:c>
      <x:c r="F6" s="41" t="str">
        <x:v>Henn na Hotel</x:v>
      </x:c>
      <x:c r="G6" s="41" t="str">
        <x:v>RETAIN</x:v>
      </x:c>
      <x:c r="H6" s="41" t="str">
        <x:v>PHYSICAL_AI</x:v>
      </x:c>
      <x:c r="I6" s="41" t="str">
        <x:v>Service robots/자동 체크인</x:v>
      </x:c>
      <x:c r="J6" s="41" t="str">
        <x:v>KEEP_CONFIRMED_PHYSICAL_ROBOT</x:v>
      </x:c>
      <x:c r="K6" s="41" t="str">
        <x:v>HIGH</x:v>
      </x:c>
      <x:c r="L6" s="41" t="str">
        <x:v>Henn-na 공식 기술/지점 정보 또는 현행 Trip.com에서 물리적 로봇 운영 근거 확인</x:v>
      </x:c>
      <x:c r="M6" s="41" t="str">
        <x:v>https://global.hennnahotel.com/en/</x:v>
      </x:c>
      <x:c r="N6" s="41" t="str">
        <x:v>https://www.trip.com/hotels/tokyo-hotel-detail-12081369/henn-na-hotel-tokyo-akasaka/</x:v>
      </x:c>
      <x:c r="O6" s="42" t="str">
        <x:v>https://www.trip.com/hotels/tokyo-hotel-detail-12081369/henn-na-hotel-tokyo-akasaka/review.html</x:v>
      </x:c>
    </x:row>
    <x:row r="7">
      <x:c r="A7" s="29" t="n">
        <x:v>6</x:v>
      </x:c>
      <x:c r="B7" s="30" t="n">
        <x:v>7</x:v>
      </x:c>
      <x:c r="C7" s="30" t="str">
        <x:v>Japan</x:v>
      </x:c>
      <x:c r="D7" s="30" t="str">
        <x:v>Tokyo</x:v>
      </x:c>
      <x:c r="E7" s="41" t="str">
        <x:v>Henn na Hotel Tokyo Asakusabashi</x:v>
      </x:c>
      <x:c r="F7" s="41" t="str">
        <x:v>Henn na Hotel</x:v>
      </x:c>
      <x:c r="G7" s="41" t="str">
        <x:v>RETAIN</x:v>
      </x:c>
      <x:c r="H7" s="41" t="str">
        <x:v>PHYSICAL_AI</x:v>
      </x:c>
      <x:c r="I7" s="41" t="str">
        <x:v>Service robots/로봇 체크인</x:v>
      </x:c>
      <x:c r="J7" s="41" t="str">
        <x:v>KEEP_CONFIRMED_PHYSICAL_ROBOT</x:v>
      </x:c>
      <x:c r="K7" s="41" t="str">
        <x:v>HIGH</x:v>
      </x:c>
      <x:c r="L7" s="41" t="str">
        <x:v>Henn-na 공식 기술/지점 정보 또는 현행 Trip.com에서 물리적 로봇 운영 근거 확인</x:v>
      </x:c>
      <x:c r="M7" s="41" t="str">
        <x:v>https://global.hennnahotel.com/en/</x:v>
      </x:c>
      <x:c r="N7" s="41" t="str">
        <x:v>https://www.trip.com/hotels/tokyo-hotel-detail-12081375/henn-na-hotel-tokyo-asakusabashi/</x:v>
      </x:c>
      <x:c r="O7" s="42" t="str">
        <x:v>https://www.trip.com/hotels/tokyo-hotel-detail-12081375/henn-na-hotel-tokyo-asakusabashi/review.html</x:v>
      </x:c>
    </x:row>
    <x:row r="8">
      <x:c r="A8" s="29" t="n">
        <x:v>7</x:v>
      </x:c>
      <x:c r="B8" s="30" t="n">
        <x:v>8</x:v>
      </x:c>
      <x:c r="C8" s="30" t="str">
        <x:v>Japan</x:v>
      </x:c>
      <x:c r="D8" s="30" t="str">
        <x:v>Tokyo</x:v>
      </x:c>
      <x:c r="E8" s="41" t="str">
        <x:v>Henn na Hotel Tokyo Haneda</x:v>
      </x:c>
      <x:c r="F8" s="41" t="str">
        <x:v>Henn na Hotel</x:v>
      </x:c>
      <x:c r="G8" s="41" t="str">
        <x:v>RETAIN</x:v>
      </x:c>
      <x:c r="H8" s="41" t="str">
        <x:v>PHYSICAL_AI</x:v>
      </x:c>
      <x:c r="I8" s="41" t="str">
        <x:v>Service robots/공룡 로봇</x:v>
      </x:c>
      <x:c r="J8" s="41" t="str">
        <x:v>KEEP_CONFIRMED_PHYSICAL_ROBOT</x:v>
      </x:c>
      <x:c r="K8" s="41" t="str">
        <x:v>HIGH</x:v>
      </x:c>
      <x:c r="L8" s="41" t="str">
        <x:v>Henn-na 공식 기술/지점 정보 또는 현행 Trip.com에서 물리적 로봇 운영 근거 확인</x:v>
      </x:c>
      <x:c r="M8" s="41" t="str">
        <x:v>https://global.hennnahotel.com/en/</x:v>
      </x:c>
      <x:c r="N8" s="41" t="str">
        <x:v>https://www.trip.com/hotels/tokyo-hotel-detail-12081432/henn-na-hotel-tokyo-haneda/</x:v>
      </x:c>
      <x:c r="O8" s="42" t="str">
        <x:v>https://www.trip.com/hotels/tokyo-hotel-detail-12081432/henn-na-hotel-tokyo-haneda/review.html</x:v>
      </x:c>
    </x:row>
    <x:row r="9">
      <x:c r="A9" s="29" t="n">
        <x:v>8</x:v>
      </x:c>
      <x:c r="B9" s="30" t="n">
        <x:v>10</x:v>
      </x:c>
      <x:c r="C9" s="30" t="str">
        <x:v>Japan</x:v>
      </x:c>
      <x:c r="D9" s="30" t="str">
        <x:v>Gamagori</x:v>
      </x:c>
      <x:c r="E9" s="41" t="str">
        <x:v>Henn na Hotel Laguna Ten Bosch</x:v>
      </x:c>
      <x:c r="F9" s="41" t="str">
        <x:v>Henn na Hotel</x:v>
      </x:c>
      <x:c r="G9" s="41" t="str">
        <x:v>RETAIN</x:v>
      </x:c>
      <x:c r="H9" s="41" t="str">
        <x:v>PHYSICAL_AI</x:v>
      </x:c>
      <x:c r="I9" s="41" t="str">
        <x:v>공룡 로봇 프런트</x:v>
      </x:c>
      <x:c r="J9" s="41" t="str">
        <x:v>KEEP_CONFIRMED_PHYSICAL_ROBOT</x:v>
      </x:c>
      <x:c r="K9" s="41" t="str">
        <x:v>HIGH</x:v>
      </x:c>
      <x:c r="L9" s="41" t="str">
        <x:v>Henn-na 공식 기술/지점 정보 또는 현행 Trip.com에서 물리적 로봇 운영 근거 확인</x:v>
      </x:c>
      <x:c r="M9" s="41" t="str">
        <x:v>https://global.hennnahotel.com/en/</x:v>
      </x:c>
      <x:c r="N9" s="41" t="str">
        <x:v>https://www.trip.com/hotels/gamagori-hotel-detail-9648052/henn-na-hotel-laguna-ten-bosch/</x:v>
      </x:c>
      <x:c r="O9" s="42" t="str">
        <x:v>https://www.trip.com/hotels/gamagori-hotel-detail-9648052/henn-na-hotel-laguna-ten-bosch/review.html</x:v>
      </x:c>
    </x:row>
    <x:row r="10">
      <x:c r="A10" s="29" t="n">
        <x:v>9</x:v>
      </x:c>
      <x:c r="B10" s="30" t="n">
        <x:v>11</x:v>
      </x:c>
      <x:c r="C10" s="30" t="str">
        <x:v>Japan</x:v>
      </x:c>
      <x:c r="D10" s="30" t="str">
        <x:v>Kanazawa</x:v>
      </x:c>
      <x:c r="E10" s="41" t="str">
        <x:v>Henn na Hotel Kanazawa Korinbo</x:v>
      </x:c>
      <x:c r="F10" s="41" t="str">
        <x:v>Henn na Hotel</x:v>
      </x:c>
      <x:c r="G10" s="41" t="str">
        <x:v>RETAIN</x:v>
      </x:c>
      <x:c r="H10" s="41" t="str">
        <x:v>PHYSICAL_AI</x:v>
      </x:c>
      <x:c r="I10" s="41" t="str">
        <x:v>로봇/자동 체크인</x:v>
      </x:c>
      <x:c r="J10" s="41" t="str">
        <x:v>KEEP_CONFIRMED_PHYSICAL_ROBOT</x:v>
      </x:c>
      <x:c r="K10" s="41" t="str">
        <x:v>HIGH</x:v>
      </x:c>
      <x:c r="L10" s="41" t="str">
        <x:v>Henn-na 공식 기술/지점 정보 또는 현행 Trip.com에서 물리적 로봇 운영 근거 확인</x:v>
      </x:c>
      <x:c r="M10" s="41" t="str">
        <x:v>https://global.hennnahotel.com/en/</x:v>
      </x:c>
      <x:c r="N10" s="41" t="str">
        <x:v>https://www.trip.com/hotels/kanazawa-hotel-detail-46761832/henna-hotel-kanazawa-korinbo/</x:v>
      </x:c>
      <x:c r="O10" s="42" t="str">
        <x:v>https://www.trip.com/hotels/kanazawa-hotel-detail-46761832/henna-hotel-kanazawa-korinbo/review.html</x:v>
      </x:c>
    </x:row>
    <x:row r="11">
      <x:c r="A11" s="29" t="n">
        <x:v>10</x:v>
      </x:c>
      <x:c r="B11" s="30" t="n">
        <x:v>14</x:v>
      </x:c>
      <x:c r="C11" s="30" t="str">
        <x:v>Japan</x:v>
      </x:c>
      <x:c r="D11" s="30" t="str">
        <x:v>Osaka</x:v>
      </x:c>
      <x:c r="E11" s="41" t="str">
        <x:v>Henn na Hotel Osaka Shinsaibashi</x:v>
      </x:c>
      <x:c r="F11" s="41" t="str">
        <x:v>Henn na Hotel</x:v>
      </x:c>
      <x:c r="G11" s="41" t="str">
        <x:v>RETAIN</x:v>
      </x:c>
      <x:c r="H11" s="41" t="str">
        <x:v>PHYSICAL_AI</x:v>
      </x:c>
      <x:c r="I11" s="41" t="str">
        <x:v>Service robots</x:v>
      </x:c>
      <x:c r="J11" s="41" t="str">
        <x:v>KEEP_CONFIRMED_PHYSICAL_ROBOT</x:v>
      </x:c>
      <x:c r="K11" s="41" t="str">
        <x:v>HIGH</x:v>
      </x:c>
      <x:c r="L11" s="41" t="str">
        <x:v>Henn-na 공식 기술/지점 정보 또는 현행 Trip.com에서 물리적 로봇 운영 근거 확인</x:v>
      </x:c>
      <x:c r="M11" s="41" t="str">
        <x:v>https://global.hennnahotel.com/en/shinsaibashi/concept/</x:v>
      </x:c>
      <x:c r="N11" s="41" t="str">
        <x:v>https://www.trip.com/hotels/osaka-hotel-detail-25207623/henn-na-hotel-osaka-shinsaibashi/</x:v>
      </x:c>
      <x:c r="O11" s="42" t="str">
        <x:v>https://www.trip.com/hotels/osaka-hotel-detail-25207623/henn-na-hotel-osaka-shinsaibashi/review.html</x:v>
      </x:c>
    </x:row>
    <x:row r="12">
      <x:c r="A12" s="29" t="n">
        <x:v>11</x:v>
      </x:c>
      <x:c r="B12" s="30" t="n">
        <x:v>15</x:v>
      </x:c>
      <x:c r="C12" s="30" t="str">
        <x:v>Japan</x:v>
      </x:c>
      <x:c r="D12" s="30" t="str">
        <x:v>Osaka</x:v>
      </x:c>
      <x:c r="E12" s="41" t="str">
        <x:v>Henn na Hotel Osaka Namba</x:v>
      </x:c>
      <x:c r="F12" s="41" t="str">
        <x:v>Henn na Hotel</x:v>
      </x:c>
      <x:c r="G12" s="41" t="str">
        <x:v>RETAIN</x:v>
      </x:c>
      <x:c r="H12" s="41" t="str">
        <x:v>PHYSICAL_AI</x:v>
      </x:c>
      <x:c r="I12" s="41" t="str">
        <x:v>Service robots/셀프 체크인</x:v>
      </x:c>
      <x:c r="J12" s="41" t="str">
        <x:v>KEEP_CONFIRMED_PHYSICAL_ROBOT</x:v>
      </x:c>
      <x:c r="K12" s="41" t="str">
        <x:v>HIGH</x:v>
      </x:c>
      <x:c r="L12" s="41" t="str">
        <x:v>Henn-na 공식 기술/지점 정보 또는 현행 Trip.com에서 물리적 로봇 운영 근거 확인</x:v>
      </x:c>
      <x:c r="M12" s="41" t="str">
        <x:v>https://global.hennnahotel.com/en/nishishinsaibashi/</x:v>
      </x:c>
      <x:c r="N12" s="41" t="str">
        <x:v>https://www.trip.com/hotels/osaka-hotel-detail-25207318/henn-na-hotel-osaka-namba/</x:v>
      </x:c>
      <x:c r="O12" s="42" t="str">
        <x:v>https://www.trip.com/hotels/osaka-hotel-detail-25207318/henn-na-hotel-osaka-namba/review.html</x:v>
      </x:c>
    </x:row>
    <x:row r="13">
      <x:c r="A13" s="29" t="n">
        <x:v>12</x:v>
      </x:c>
      <x:c r="B13" s="30" t="n">
        <x:v>18</x:v>
      </x:c>
      <x:c r="C13" s="30" t="str">
        <x:v>Japan</x:v>
      </x:c>
      <x:c r="D13" s="30" t="str">
        <x:v>Kyoto</x:v>
      </x:c>
      <x:c r="E13" s="41" t="str">
        <x:v>Henn na Hotel Premier Kyoto Station Hachijo Exit</x:v>
      </x:c>
      <x:c r="F13" s="41" t="str">
        <x:v>Henn na Hotel</x:v>
      </x:c>
      <x:c r="G13" s="41" t="str">
        <x:v>RETAIN</x:v>
      </x:c>
      <x:c r="H13" s="41" t="str">
        <x:v>PHYSICAL_AI</x:v>
      </x:c>
      <x:c r="I13" s="41" t="str">
        <x:v>로봇/자동 체크인</x:v>
      </x:c>
      <x:c r="J13" s="41" t="str">
        <x:v>KEEP_CONFIRMED_PHYSICAL_ROBOT</x:v>
      </x:c>
      <x:c r="K13" s="41" t="str">
        <x:v>HIGH</x:v>
      </x:c>
      <x:c r="L13" s="41" t="str">
        <x:v>Henn-na 공식 기술/지점 정보 또는 현행 Trip.com에서 물리적 로봇 운영 근거 확인</x:v>
      </x:c>
      <x:c r="M13" s="41" t="str">
        <x:v>https://global.hennnahotel.com/en/kyoto-hachijoguchi/</x:v>
      </x:c>
      <x:c r="N13" s="41" t="str">
        <x:v>https://www.trip.com/hotels/kyoto-hotel-detail-30899088/henn-na-hotel-premier-in-front-of-kyoto-station-hachijo-exit/</x:v>
      </x:c>
      <x:c r="O13" s="42" t="str">
        <x:v>https://www.trip.com/hotels/kyoto-hotel-detail-30899088/henn-na-hotel-premier-in-front-of-kyoto-station-hachijo-exit/review.html</x:v>
      </x:c>
    </x:row>
    <x:row r="14">
      <x:c r="A14" s="29" t="n">
        <x:v>13</x:v>
      </x:c>
      <x:c r="B14" s="30" t="n">
        <x:v>20</x:v>
      </x:c>
      <x:c r="C14" s="30" t="str">
        <x:v>Japan</x:v>
      </x:c>
      <x:c r="D14" s="30" t="str">
        <x:v>Izumisano</x:v>
      </x:c>
      <x:c r="E14" s="41" t="str">
        <x:v>Henn na Resort &amp; Spa Kansai Airport</x:v>
      </x:c>
      <x:c r="F14" s="41" t="str">
        <x:v>Henn na Hotel</x:v>
      </x:c>
      <x:c r="G14" s="41" t="str">
        <x:v>RETAIN</x:v>
      </x:c>
      <x:c r="H14" s="41" t="str">
        <x:v>PHYSICAL_AI</x:v>
      </x:c>
      <x:c r="I14" s="41" t="str">
        <x:v>공룡 로봇/자동 체크인</x:v>
      </x:c>
      <x:c r="J14" s="41" t="str">
        <x:v>KEEP_CONFIRMED_PHYSICAL_ROBOT</x:v>
      </x:c>
      <x:c r="K14" s="41" t="str">
        <x:v>HIGH</x:v>
      </x:c>
      <x:c r="L14" s="41" t="str">
        <x:v>Henn-na 공식 기술/지점 정보 또는 현행 Trip.com에서 물리적 로봇 운영 근거 확인</x:v>
      </x:c>
      <x:c r="M14" s="41" t="str">
        <x:v>https://global.hennnahotel.com/en/kansai-airport/</x:v>
      </x:c>
      <x:c r="N14" s="41" t="str">
        <x:v>https://www.trip.com/hotels/hannan-hotel-detail-33498636/henn-na-resort-spa-kansai-airport/</x:v>
      </x:c>
      <x:c r="O14" s="42" t="str">
        <x:v>https://www.trip.com/hotels/hannan-hotel-detail-33498636/henn-na-resort-spa-kansai-airport/review.html</x:v>
      </x:c>
    </x:row>
    <x:row r="15">
      <x:c r="A15" s="29" t="n">
        <x:v>14</x:v>
      </x:c>
      <x:c r="B15" s="30" t="n">
        <x:v>22</x:v>
      </x:c>
      <x:c r="C15" s="30" t="str">
        <x:v>Japan</x:v>
      </x:c>
      <x:c r="D15" s="30" t="str">
        <x:v>Fukuoka</x:v>
      </x:c>
      <x:c r="E15" s="41" t="str">
        <x:v>Henn na Hotel Fukuoka Hakata</x:v>
      </x:c>
      <x:c r="F15" s="41" t="str">
        <x:v>Henn na Hotel</x:v>
      </x:c>
      <x:c r="G15" s="41" t="str">
        <x:v>RETAIN</x:v>
      </x:c>
      <x:c r="H15" s="41" t="str">
        <x:v>PHYSICAL_AI</x:v>
      </x:c>
      <x:c r="I15" s="41" t="str">
        <x:v>공룡 로봇/자동 체크인</x:v>
      </x:c>
      <x:c r="J15" s="41" t="str">
        <x:v>KEEP_CONFIRMED_PHYSICAL_ROBOT</x:v>
      </x:c>
      <x:c r="K15" s="41" t="str">
        <x:v>HIGH</x:v>
      </x:c>
      <x:c r="L15" s="41" t="str">
        <x:v>Henn-na 공식 기술/지점 정보 또는 현행 Trip.com에서 물리적 로봇 운영 근거 확인</x:v>
      </x:c>
      <x:c r="M15" s="41" t="str">
        <x:v>https://global.hennnahotel.com/en/</x:v>
      </x:c>
      <x:c r="N15" s="41" t="str">
        <x:v>https://www.trip.com/hotels/fukuoka-hotel-detail-25017761/henn-na-hotel-fukuoka-hakata/</x:v>
      </x:c>
      <x:c r="O15" s="42" t="str">
        <x:v>https://www.trip.com/hotels/fukuoka-hotel-detail-25017761/henn-na-hotel-fukuoka-hakata/review.html</x:v>
      </x:c>
    </x:row>
    <x:row r="16">
      <x:c r="A16" s="29" t="n">
        <x:v>15</x:v>
      </x:c>
      <x:c r="B16" s="30" t="n">
        <x:v>24</x:v>
      </x:c>
      <x:c r="C16" s="30" t="str">
        <x:v>South Korea</x:v>
      </x:c>
      <x:c r="D16" s="30" t="str">
        <x:v>Seoul</x:v>
      </x:c>
      <x:c r="E16" s="41" t="str">
        <x:v>Henn-na Hotel Seoul Myeongdong</x:v>
      </x:c>
      <x:c r="F16" s="41" t="str">
        <x:v>Henn na Hotel</x:v>
      </x:c>
      <x:c r="G16" s="41" t="str">
        <x:v>RETAIN</x:v>
      </x:c>
      <x:c r="H16" s="41" t="str">
        <x:v>PHYSICAL_AI</x:v>
      </x:c>
      <x:c r="I16" s="41" t="str">
        <x:v>프런트 로봇+배송 로봇+AI</x:v>
      </x:c>
      <x:c r="J16" s="41" t="str">
        <x:v>KEEP_CONFIRMED_PHYSICAL_ROBOT</x:v>
      </x:c>
      <x:c r="K16" s="41" t="str">
        <x:v>HIGH</x:v>
      </x:c>
      <x:c r="L16" s="41" t="str">
        <x:v>Henn-na 공식 기술/지점 정보 또는 현행 Trip.com에서 물리적 로봇 운영 근거 확인</x:v>
      </x:c>
      <x:c r="M16" s="41" t="str">
        <x:v>https://www.trip.com/hotels/seoul-hotel-detail-71975183/henn-na-hotel-seoul-myeongdong/</x:v>
      </x:c>
      <x:c r="N16" s="41" t="str">
        <x:v>https://www.trip.com/hotels/seoul-hotel-detail-71590703/henn-na-hotel-seoul-myeongdong/</x:v>
      </x:c>
      <x:c r="O16" s="42" t="str">
        <x:v>https://www.trip.com/hotels/seoul-hotel-detail-71590703/henn-na-hotel-seoul-myeongdong/review.html</x:v>
      </x:c>
    </x:row>
    <x:row r="17">
      <x:c r="A17" s="29" t="n">
        <x:v>16</x:v>
      </x:c>
      <x:c r="B17" s="30" t="n">
        <x:v>25</x:v>
      </x:c>
      <x:c r="C17" s="30" t="str">
        <x:v>United States</x:v>
      </x:c>
      <x:c r="D17" s="30" t="str">
        <x:v>New York</x:v>
      </x:c>
      <x:c r="E17" s="41" t="str">
        <x:v>Henn na Hotel New York</x:v>
      </x:c>
      <x:c r="F17" s="41" t="str">
        <x:v>Henn na Hotel</x:v>
      </x:c>
      <x:c r="G17" s="41" t="str">
        <x:v>RETAIN</x:v>
      </x:c>
      <x:c r="H17" s="41" t="str">
        <x:v>PHYSICAL_AI</x:v>
      </x:c>
      <x:c r="I17" s="41" t="str">
        <x:v>공룡 로봇 프런트/첨단기술</x:v>
      </x:c>
      <x:c r="J17" s="41" t="str">
        <x:v>KEEP_CONFIRMED_PHYSICAL_ROBOT</x:v>
      </x:c>
      <x:c r="K17" s="41" t="str">
        <x:v>HIGH</x:v>
      </x:c>
      <x:c r="L17" s="41" t="str">
        <x:v>Henn-na 공식 기술/지점 정보 또는 현행 Trip.com에서 물리적 로봇 운영 근거 확인</x:v>
      </x:c>
      <x:c r="M17" s="41" t="str">
        <x:v>https://group.hennnahotel.com/our-hotels/</x:v>
      </x:c>
      <x:c r="N17" s="41" t="str">
        <x:v>https://us.trip.com/hotels/new-york-hotel-detail-80892271/henn-na-hotel-new-york/</x:v>
      </x:c>
      <x:c r="O17" s="42" t="str">
        <x:v>https://us.trip.com/hotels/new-york-hotel-detail-80892271/henn-na-hotel-new-york/review.html</x:v>
      </x:c>
    </x:row>
    <x:row r="18">
      <x:c r="A18" s="29" t="n">
        <x:v>17</x:v>
      </x:c>
      <x:c r="B18" s="30" t="n">
        <x:v>26</x:v>
      </x:c>
      <x:c r="C18" s="30" t="str">
        <x:v>China</x:v>
      </x:c>
      <x:c r="D18" s="30" t="str">
        <x:v>Hangzhou</x:v>
      </x:c>
      <x:c r="E18" s="41" t="str">
        <x:v>JI Hotel (Hangzhou Linjiang Science and Innovation Park)</x:v>
      </x:c>
      <x:c r="F18" s="41" t="str">
        <x:v>JI Hotel</x:v>
      </x:c>
      <x:c r="G18" s="41" t="str">
        <x:v>RETAIN</x:v>
      </x:c>
      <x:c r="H18" s="41" t="str">
        <x:v>PHYSICAL_AI</x:v>
      </x:c>
      <x:c r="I18" s="41" t="str">
        <x:v>Service robots / robotic delivery</x:v>
      </x:c>
      <x:c r="J18" s="41" t="str">
        <x:v>KEEP_EXISTING_CANDIDATE</x:v>
      </x:c>
      <x:c r="K18" s="41" t="str">
        <x:v>MEDIUM-HIGH</x:v>
      </x:c>
      <x:c r="L18" s="41" t="str">
        <x:v>원본 목록의 Trip.com Service robots/robot delivery 명시 근거를 유지. 현행 표본 페이지 재점검으로 선정 규칙 타당성 확인.</x:v>
      </x:c>
      <x:c r="M18" s="41" t="str">
        <x:v>https://www.trip.com/hotels/hangzhou-hotel-detail-127462433/full-season-hotel/</x:v>
      </x:c>
      <x:c r="N18" s="41" t="str">
        <x:v>https://www.trip.com/hotels/hangzhou-hotel-detail-127462433/full-season-hotel/</x:v>
      </x:c>
      <x:c r="O18" s="42" t="str">
        <x:v>https://www.trip.com/hotels/hangzhou-hotel-detail-127462433/full-season-hotel/review.html</x:v>
      </x:c>
    </x:row>
    <x:row r="19">
      <x:c r="A19" s="29" t="n">
        <x:v>18</x:v>
      </x:c>
      <x:c r="B19" s="30" t="n">
        <x:v>27</x:v>
      </x:c>
      <x:c r="C19" s="30" t="str">
        <x:v>China</x:v>
      </x:c>
      <x:c r="D19" s="30" t="str">
        <x:v>Hangzhou</x:v>
      </x:c>
      <x:c r="E19" s="41" t="str">
        <x:v>Atour Hotel (Binjiang Longhu Tianjie, Hangzhou)</x:v>
      </x:c>
      <x:c r="F19" s="41" t="str">
        <x:v>Atour Hotel</x:v>
      </x:c>
      <x:c r="G19" s="41" t="str">
        <x:v>RETAIN</x:v>
      </x:c>
      <x:c r="H19" s="41" t="str">
        <x:v>PHYSICAL_AI</x:v>
      </x:c>
      <x:c r="I19" s="41" t="str">
        <x:v>Service robots</x:v>
      </x:c>
      <x:c r="J19" s="41" t="str">
        <x:v>KEEP_EXISTING_CANDIDATE</x:v>
      </x:c>
      <x:c r="K19" s="41" t="str">
        <x:v>MEDIUM-HIGH</x:v>
      </x:c>
      <x:c r="L19" s="41" t="str">
        <x:v>원본 목록의 Trip.com Service robots/robot delivery 명시 근거를 유지. 현행 표본 페이지 재점검으로 선정 규칙 타당성 확인.</x:v>
      </x:c>
      <x:c r="M19" s="41" t="str">
        <x:v>https://www.trip.com/hotels/hangzhou-hotel-detail-133846834/atour-hotel/</x:v>
      </x:c>
      <x:c r="N19" s="41" t="str">
        <x:v>https://www.trip.com/hotels/hangzhou-hotel-detail-133846834/atour-hotel/</x:v>
      </x:c>
      <x:c r="O19" s="42" t="str">
        <x:v>https://www.trip.com/hotels/hangzhou-hotel-detail-133846834/atour-hotel/review.html</x:v>
      </x:c>
    </x:row>
    <x:row r="20">
      <x:c r="A20" s="29" t="n">
        <x:v>19</x:v>
      </x:c>
      <x:c r="B20" s="30" t="n">
        <x:v>28</x:v>
      </x:c>
      <x:c r="C20" s="30" t="str">
        <x:v>China</x:v>
      </x:c>
      <x:c r="D20" s="30" t="str">
        <x:v>Shenzhen</x:v>
      </x:c>
      <x:c r="E20" s="41" t="str">
        <x:v>Shenzhen T Hotel (Nanshan Science and Technology Park)</x:v>
      </x:c>
      <x:c r="F20" s="41" t="str">
        <x:v>Shenzhen T Hotel</x:v>
      </x:c>
      <x:c r="G20" s="41" t="str">
        <x:v>RETAIN</x:v>
      </x:c>
      <x:c r="H20" s="41" t="str">
        <x:v>PHYSICAL_AI</x:v>
      </x:c>
      <x:c r="I20" s="41" t="str">
        <x:v>Service robots</x:v>
      </x:c>
      <x:c r="J20" s="41" t="str">
        <x:v>KEEP_EXISTING_CANDIDATE</x:v>
      </x:c>
      <x:c r="K20" s="41" t="str">
        <x:v>MEDIUM-HIGH</x:v>
      </x:c>
      <x:c r="L20" s="41" t="str">
        <x:v>원본 목록의 Trip.com Service robots/robot delivery 명시 근거를 유지. 현행 표본 페이지 재점검으로 선정 규칙 타당성 확인.</x:v>
      </x:c>
      <x:c r="M20" s="41" t="str">
        <x:v>https://www.trip.com/hotels/shenzhen-hotel-detail-12135231/shenzhen-t-hotel/</x:v>
      </x:c>
      <x:c r="N20" s="41" t="str">
        <x:v>https://www.trip.com/hotels/shenzhen-hotel-detail-12135231/shenzhen-t-hotel/</x:v>
      </x:c>
      <x:c r="O20" s="42" t="str">
        <x:v>https://www.trip.com/hotels/shenzhen-hotel-detail-12135231/shenzhen-t-hotel/review.html</x:v>
      </x:c>
    </x:row>
    <x:row r="21">
      <x:c r="A21" s="29" t="n">
        <x:v>20</x:v>
      </x:c>
      <x:c r="B21" s="30" t="n">
        <x:v>29</x:v>
      </x:c>
      <x:c r="C21" s="30" t="str">
        <x:v>China</x:v>
      </x:c>
      <x:c r="D21" s="30" t="str">
        <x:v>Hangzhou</x:v>
      </x:c>
      <x:c r="E21" s="41" t="str">
        <x:v>Cangji Hotel (Hangzhou West Railway Station Artificial Intelligence Town)</x:v>
      </x:c>
      <x:c r="F21" s="41" t="str">
        <x:v>Cangji Hotel</x:v>
      </x:c>
      <x:c r="G21" s="41" t="str">
        <x:v>RETAIN</x:v>
      </x:c>
      <x:c r="H21" s="41" t="str">
        <x:v>PHYSICAL_AI</x:v>
      </x:c>
      <x:c r="I21" s="41" t="str">
        <x:v>Service robots</x:v>
      </x:c>
      <x:c r="J21" s="41" t="str">
        <x:v>KEEP_EXISTING_CANDIDATE</x:v>
      </x:c>
      <x:c r="K21" s="41" t="str">
        <x:v>MEDIUM-HIGH</x:v>
      </x:c>
      <x:c r="L21" s="41" t="str">
        <x:v>원본 목록의 Trip.com Service robots/robot delivery 명시 근거를 유지. 현행 표본 페이지 재점검으로 선정 규칙 타당성 확인.</x:v>
      </x:c>
      <x:c r="M21" s="41" t="str">
        <x:v>https://www.trip.com/hotels/hangzhou-hotel-detail-127002543/cangji-hotel/</x:v>
      </x:c>
      <x:c r="N21" s="41" t="str">
        <x:v>https://www.trip.com/hotels/hangzhou-hotel-detail-127002543/cangji-hotel/</x:v>
      </x:c>
      <x:c r="O21" s="42" t="str">
        <x:v>https://www.trip.com/hotels/hangzhou-hotel-detail-127002543/cangji-hotel/review.html</x:v>
      </x:c>
    </x:row>
    <x:row r="22">
      <x:c r="A22" s="29" t="n">
        <x:v>21</x:v>
      </x:c>
      <x:c r="B22" s="30" t="n">
        <x:v>30</x:v>
      </x:c>
      <x:c r="C22" s="30" t="str">
        <x:v>China</x:v>
      </x:c>
      <x:c r="D22" s="30" t="str">
        <x:v>Guangzhou</x:v>
      </x:c>
      <x:c r="E22" s="41" t="str">
        <x:v>Metropolis Hotel</x:v>
      </x:c>
      <x:c r="F22" s="41" t="str">
        <x:v>Metropolis Hotel</x:v>
      </x:c>
      <x:c r="G22" s="41" t="str">
        <x:v>RETAIN</x:v>
      </x:c>
      <x:c r="H22" s="41" t="str">
        <x:v>PHYSICAL_AI</x:v>
      </x:c>
      <x:c r="I22" s="41" t="str">
        <x:v>Service robots</x:v>
      </x:c>
      <x:c r="J22" s="41" t="str">
        <x:v>KEEP_EXISTING_CANDIDATE</x:v>
      </x:c>
      <x:c r="K22" s="41" t="str">
        <x:v>MEDIUM-HIGH</x:v>
      </x:c>
      <x:c r="L22" s="41" t="str">
        <x:v>원본 목록의 Trip.com Service robots/robot delivery 명시 근거를 유지. 현행 표본 페이지 재점검으로 선정 규칙 타당성 확인.</x:v>
      </x:c>
      <x:c r="M22" s="41" t="str">
        <x:v>https://www.trip.com/hotels/guangzhou-hotel-detail-52686508/metropolo-jinjiang-hotel/</x:v>
      </x:c>
      <x:c r="N22" s="41" t="str">
        <x:v>https://www.trip.com/hotels/guangzhou-hotel-detail-52686508/metropolo-jinjiang-hotel/</x:v>
      </x:c>
      <x:c r="O22" s="42" t="str">
        <x:v>https://www.trip.com/hotels/guangzhou-hotel-detail-52686508/metropolo-jinjiang-hotel/review.html</x:v>
      </x:c>
    </x:row>
    <x:row r="23">
      <x:c r="A23" s="29" t="n">
        <x:v>22</x:v>
      </x:c>
      <x:c r="B23" s="30" t="n">
        <x:v>31</x:v>
      </x:c>
      <x:c r="C23" s="30" t="str">
        <x:v>China</x:v>
      </x:c>
      <x:c r="D23" s="30" t="str">
        <x:v>Shenzhen</x:v>
      </x:c>
      <x:c r="E23" s="41" t="str">
        <x:v>Dejin Garden Hotel (Shenzhen International Convention and Exhibition Center)</x:v>
      </x:c>
      <x:c r="F23" s="41" t="str">
        <x:v>Dejin Garden Hotel</x:v>
      </x:c>
      <x:c r="G23" s="41" t="str">
        <x:v>RETAIN</x:v>
      </x:c>
      <x:c r="H23" s="41" t="str">
        <x:v>PHYSICAL_AI</x:v>
      </x:c>
      <x:c r="I23" s="41" t="str">
        <x:v>Service robots</x:v>
      </x:c>
      <x:c r="J23" s="41" t="str">
        <x:v>KEEP_EXISTING_CANDIDATE</x:v>
      </x:c>
      <x:c r="K23" s="41" t="str">
        <x:v>MEDIUM-HIGH</x:v>
      </x:c>
      <x:c r="L23" s="41" t="str">
        <x:v>원본 목록의 Trip.com Service robots/robot delivery 명시 근거를 유지. 현행 표본 페이지 재점검으로 선정 규칙 타당성 확인.</x:v>
      </x:c>
      <x:c r="M23" s="41" t="str">
        <x:v>https://www.trip.com/hotels/shenzhen-hotel-detail-105830039/shenzhen-deking-garden-hotel/</x:v>
      </x:c>
      <x:c r="N23" s="41" t="str">
        <x:v>https://www.trip.com/hotels/shenzhen-hotel-detail-105830039/shenzhen-deking-garden-hotel/</x:v>
      </x:c>
      <x:c r="O23" s="42" t="str">
        <x:v>https://www.trip.com/hotels/shenzhen-hotel-detail-105830039/shenzhen-deking-garden-hotel/review.html</x:v>
      </x:c>
    </x:row>
    <x:row r="24">
      <x:c r="A24" s="29" t="n">
        <x:v>23</x:v>
      </x:c>
      <x:c r="B24" s="30" t="n">
        <x:v>32</x:v>
      </x:c>
      <x:c r="C24" s="30" t="str">
        <x:v>China</x:v>
      </x:c>
      <x:c r="D24" s="30" t="str">
        <x:v>Chongqing</x:v>
      </x:c>
      <x:c r="E24" s="41" t="str">
        <x:v>Ni Hao Hotel (Chongqing Ranjiaba)</x:v>
      </x:c>
      <x:c r="F24" s="41" t="str">
        <x:v>Ni Hao Hotel</x:v>
      </x:c>
      <x:c r="G24" s="41" t="str">
        <x:v>RETAIN</x:v>
      </x:c>
      <x:c r="H24" s="41" t="str">
        <x:v>PHYSICAL_AI</x:v>
      </x:c>
      <x:c r="I24" s="41" t="str">
        <x:v>Service robots / robot delivery / self check-in</x:v>
      </x:c>
      <x:c r="J24" s="41" t="str">
        <x:v>KEEP_EXISTING_CANDIDATE</x:v>
      </x:c>
      <x:c r="K24" s="41" t="str">
        <x:v>MEDIUM-HIGH</x:v>
      </x:c>
      <x:c r="L24" s="41" t="str">
        <x:v>원본 목록의 Trip.com Service robots/robot delivery 명시 근거를 유지. 현행 표본 페이지 재점검으로 선정 규칙 타당성 확인.</x:v>
      </x:c>
      <x:c r="M24" s="41" t="str">
        <x:v>https://www.trip.com/hotels/chongqing-hotel-detail-122739672/ni-hao-hotel/</x:v>
      </x:c>
      <x:c r="N24" s="41" t="str">
        <x:v>https://www.trip.com/hotels/chongqing-hotel-detail-122739672/ni-hao-hotel/</x:v>
      </x:c>
      <x:c r="O24" s="42" t="str">
        <x:v>https://www.trip.com/hotels/chongqing-hotel-detail-122739672/ni-hao-hotel/review.html</x:v>
      </x:c>
    </x:row>
    <x:row r="25">
      <x:c r="A25" s="29" t="n">
        <x:v>24</x:v>
      </x:c>
      <x:c r="B25" s="30" t="n">
        <x:v>33</x:v>
      </x:c>
      <x:c r="C25" s="30" t="str">
        <x:v>China</x:v>
      </x:c>
      <x:c r="D25" s="30" t="str">
        <x:v>Guangzhou</x:v>
      </x:c>
      <x:c r="E25" s="41" t="str">
        <x:v>Yunji (Guangzhou Tianhe Smart City Shenzhou Road)</x:v>
      </x:c>
      <x:c r="F25" s="41" t="str">
        <x:v>Yunji</x:v>
      </x:c>
      <x:c r="G25" s="41" t="str">
        <x:v>RETAIN</x:v>
      </x:c>
      <x:c r="H25" s="41" t="str">
        <x:v>PHYSICAL_AI</x:v>
      </x:c>
      <x:c r="I25" s="41" t="str">
        <x:v>Service robots</x:v>
      </x:c>
      <x:c r="J25" s="41" t="str">
        <x:v>KEEP_EXISTING_CANDIDATE</x:v>
      </x:c>
      <x:c r="K25" s="41" t="str">
        <x:v>MEDIUM-HIGH</x:v>
      </x:c>
      <x:c r="L25" s="41" t="str">
        <x:v>원본 목록의 Trip.com Service robots/robot delivery 명시 근거를 유지. 현행 표본 페이지 재점검으로 선정 규칙 타당성 확인.</x:v>
      </x:c>
      <x:c r="M25" s="41" t="str">
        <x:v>https://www.trip.com/hotels/guangzhou-hotel-detail-133886214/yunji/</x:v>
      </x:c>
      <x:c r="N25" s="41" t="str">
        <x:v>https://www.trip.com/hotels/guangzhou-hotel-detail-133886214/yunji/</x:v>
      </x:c>
      <x:c r="O25" s="42" t="str">
        <x:v>https://www.trip.com/hotels/guangzhou-hotel-detail-133886214/yunji/review.html</x:v>
      </x:c>
    </x:row>
    <x:row r="26">
      <x:c r="A26" s="29" t="n">
        <x:v>25</x:v>
      </x:c>
      <x:c r="B26" s="30" t="n">
        <x:v>34</x:v>
      </x:c>
      <x:c r="C26" s="30" t="str">
        <x:v>China</x:v>
      </x:c>
      <x:c r="D26" s="30" t="str">
        <x:v>Shenzhen</x:v>
      </x:c>
      <x:c r="E26" s="41" t="str">
        <x:v>Shenzhen Dongmen CM+ Service Hotel Apartment</x:v>
      </x:c>
      <x:c r="F26" s="41" t="str">
        <x:v>Shenzhen Dongmen CM+ Service Hotel Apartment</x:v>
      </x:c>
      <x:c r="G26" s="41" t="str">
        <x:v>RETAIN</x:v>
      </x:c>
      <x:c r="H26" s="41" t="str">
        <x:v>PHYSICAL_AI</x:v>
      </x:c>
      <x:c r="I26" s="41" t="str">
        <x:v>Food delivery robots / Service robots</x:v>
      </x:c>
      <x:c r="J26" s="41" t="str">
        <x:v>KEEP_EXISTING_CANDIDATE</x:v>
      </x:c>
      <x:c r="K26" s="41" t="str">
        <x:v>MEDIUM-HIGH</x:v>
      </x:c>
      <x:c r="L26" s="41" t="str">
        <x:v>원본 목록의 Trip.com Service robots/robot delivery 명시 근거를 유지. 현행 표본 페이지 재점검으로 선정 규칙 타당성 확인.</x:v>
      </x:c>
      <x:c r="M26" s="41" t="str">
        <x:v>https://www.trip.com/hotels/shenzhen-hotel-detail-78037552/shenzhen-dongmen-cm-service-hotel-apartment/</x:v>
      </x:c>
      <x:c r="N26" s="41" t="str">
        <x:v>https://www.trip.com/hotels/shenzhen-hotel-detail-78037552/shenzhen-dongmen-cm-service-hotel-apartment/</x:v>
      </x:c>
      <x:c r="O26" s="42" t="str">
        <x:v>https://www.trip.com/hotels/shenzhen-hotel-detail-78037552/shenzhen-dongmen-cm-service-hotel-apartment/review.html</x:v>
      </x:c>
    </x:row>
    <x:row r="27">
      <x:c r="A27" s="29" t="n">
        <x:v>26</x:v>
      </x:c>
      <x:c r="B27" s="30" t="n">
        <x:v>35</x:v>
      </x:c>
      <x:c r="C27" s="30" t="str">
        <x:v>China</x:v>
      </x:c>
      <x:c r="D27" s="30" t="str">
        <x:v>Chengdu</x:v>
      </x:c>
      <x:c r="E27" s="41" t="str">
        <x:v>Ni Hao Hotel (Chengdu Kuanzhai Alley)</x:v>
      </x:c>
      <x:c r="F27" s="41" t="str">
        <x:v>Ni Hao Hotel</x:v>
      </x:c>
      <x:c r="G27" s="41" t="str">
        <x:v>RETAIN</x:v>
      </x:c>
      <x:c r="H27" s="41" t="str">
        <x:v>PHYSICAL_AI</x:v>
      </x:c>
      <x:c r="I27" s="41" t="str">
        <x:v>Food delivery robots / Service robots</x:v>
      </x:c>
      <x:c r="J27" s="41" t="str">
        <x:v>KEEP_EXISTING_CANDIDATE</x:v>
      </x:c>
      <x:c r="K27" s="41" t="str">
        <x:v>MEDIUM-HIGH</x:v>
      </x:c>
      <x:c r="L27" s="41" t="str">
        <x:v>원본 목록의 Trip.com Service robots/robot delivery 명시 근거를 유지. 현행 표본 페이지 재점검으로 선정 규칙 타당성 확인.</x:v>
      </x:c>
      <x:c r="M27" s="41" t="str">
        <x:v>https://www.trip.com/hotels/chengdu-hotel-detail-117335907/ni-hao-hotel/</x:v>
      </x:c>
      <x:c r="N27" s="41" t="str">
        <x:v>https://www.trip.com/hotels/chengdu-hotel-detail-117335907/ni-hao-hotel/</x:v>
      </x:c>
      <x:c r="O27" s="42" t="str">
        <x:v>https://www.trip.com/hotels/chengdu-hotel-detail-117335907/ni-hao-hotel/review.html</x:v>
      </x:c>
    </x:row>
    <x:row r="28">
      <x:c r="A28" s="29" t="n">
        <x:v>27</x:v>
      </x:c>
      <x:c r="B28" s="30" t="n">
        <x:v>36</x:v>
      </x:c>
      <x:c r="C28" s="30" t="str">
        <x:v>China</x:v>
      </x:c>
      <x:c r="D28" s="30" t="str">
        <x:v>Chengdu</x:v>
      </x:c>
      <x:c r="E28" s="41" t="str">
        <x:v>EVEN Hotel Chengdu High-Tech Zone by IHG</x:v>
      </x:c>
      <x:c r="F28" s="41" t="str">
        <x:v>EVEN Hotel Chengdu High-Tech Zone by IHG</x:v>
      </x:c>
      <x:c r="G28" s="41" t="str">
        <x:v>RETAIN</x:v>
      </x:c>
      <x:c r="H28" s="41" t="str">
        <x:v>PHYSICAL_AI</x:v>
      </x:c>
      <x:c r="I28" s="41" t="str">
        <x:v>Service robots</x:v>
      </x:c>
      <x:c r="J28" s="41" t="str">
        <x:v>KEEP_EXISTING_CANDIDATE</x:v>
      </x:c>
      <x:c r="K28" s="41" t="str">
        <x:v>MEDIUM-HIGH</x:v>
      </x:c>
      <x:c r="L28" s="41" t="str">
        <x:v>원본 목록의 Trip.com Service robots/robot delivery 명시 근거를 유지. 현행 표본 페이지 재점검으로 선정 규칙 타당성 확인.</x:v>
      </x:c>
      <x:c r="M28" s="41" t="str">
        <x:v>https://www.trip.com/hotels/chengdu-hotel-detail-127834409/even-hotel-chengdu-high-tech-zone-by-ihg/</x:v>
      </x:c>
      <x:c r="N28" s="41" t="str">
        <x:v>https://www.trip.com/hotels/chengdu-hotel-detail-127834409/even-hotel-chengdu-high-tech-zone-by-ihg/</x:v>
      </x:c>
      <x:c r="O28" s="42" t="str">
        <x:v>https://www.trip.com/hotels/chengdu-hotel-detail-127834409/even-hotel-chengdu-high-tech-zone-by-ihg/review.html</x:v>
      </x:c>
    </x:row>
    <x:row r="29">
      <x:c r="A29" s="29" t="n">
        <x:v>28</x:v>
      </x:c>
      <x:c r="B29" s="30" t="n">
        <x:v>37</x:v>
      </x:c>
      <x:c r="C29" s="30" t="str">
        <x:v>China</x:v>
      </x:c>
      <x:c r="D29" s="30" t="str">
        <x:v>Shenzhen</x:v>
      </x:c>
      <x:c r="E29" s="41" t="str">
        <x:v>Shenzhen Songgang Manjinghua Lepin Hotel</x:v>
      </x:c>
      <x:c r="F29" s="41" t="str">
        <x:v>Shenzhen Songgang Manjinghua Lepin Hotel</x:v>
      </x:c>
      <x:c r="G29" s="41" t="str">
        <x:v>RETAIN</x:v>
      </x:c>
      <x:c r="H29" s="41" t="str">
        <x:v>PHYSICAL_AI</x:v>
      </x:c>
      <x:c r="I29" s="41" t="str">
        <x:v>Service robots</x:v>
      </x:c>
      <x:c r="J29" s="41" t="str">
        <x:v>KEEP_EXISTING_CANDIDATE</x:v>
      </x:c>
      <x:c r="K29" s="41" t="str">
        <x:v>MEDIUM-HIGH</x:v>
      </x:c>
      <x:c r="L29" s="41" t="str">
        <x:v>원본 목록의 Trip.com Service robots/robot delivery 명시 근거를 유지. 현행 표본 페이지 재점검으로 선정 규칙 타당성 확인.</x:v>
      </x:c>
      <x:c r="M29" s="41" t="str">
        <x:v>https://www.trip.com/hotels/shenzhen-hotel-detail-34148978/shenzhen-songgang-manjinghua-lepin-hotel/</x:v>
      </x:c>
      <x:c r="N29" s="41" t="str">
        <x:v>https://www.trip.com/hotels/shenzhen-hotel-detail-34148978/shenzhen-songgang-manjinghua-lepin-hotel/</x:v>
      </x:c>
      <x:c r="O29" s="42" t="str">
        <x:v>https://www.trip.com/hotels/shenzhen-hotel-detail-34148978/shenzhen-songgang-manjinghua-lepin-hotel/review.html</x:v>
      </x:c>
    </x:row>
    <x:row r="30">
      <x:c r="A30" s="29" t="n">
        <x:v>29</x:v>
      </x:c>
      <x:c r="B30" s="30" t="n">
        <x:v>38</x:v>
      </x:c>
      <x:c r="C30" s="30" t="str">
        <x:v>China</x:v>
      </x:c>
      <x:c r="D30" s="30" t="str">
        <x:v>Chengdu</x:v>
      </x:c>
      <x:c r="E30" s="41" t="str">
        <x:v>JI Hotel (Chengdu Global Center)</x:v>
      </x:c>
      <x:c r="F30" s="41" t="str">
        <x:v>JI Hotel</x:v>
      </x:c>
      <x:c r="G30" s="41" t="str">
        <x:v>RETAIN</x:v>
      </x:c>
      <x:c r="H30" s="41" t="str">
        <x:v>PHYSICAL_AI</x:v>
      </x:c>
      <x:c r="I30" s="41" t="str">
        <x:v>Service robots</x:v>
      </x:c>
      <x:c r="J30" s="41" t="str">
        <x:v>KEEP_EXISTING_CANDIDATE</x:v>
      </x:c>
      <x:c r="K30" s="41" t="str">
        <x:v>MEDIUM-HIGH</x:v>
      </x:c>
      <x:c r="L30" s="41" t="str">
        <x:v>원본 목록의 Trip.com Service robots/robot delivery 명시 근거를 유지. 현행 표본 페이지 재점검으로 선정 규칙 타당성 확인.</x:v>
      </x:c>
      <x:c r="M30" s="41" t="str">
        <x:v>https://www.trip.com/hotels/chengdu-hotel-detail-2982177/ji-hotel/</x:v>
      </x:c>
      <x:c r="N30" s="41" t="str">
        <x:v>https://www.trip.com/hotels/chengdu-hotel-detail-2982177/ji-hotel/</x:v>
      </x:c>
      <x:c r="O30" s="42" t="str">
        <x:v>https://www.trip.com/hotels/chengdu-hotel-detail-2982177/ji-hotel/review.html</x:v>
      </x:c>
    </x:row>
    <x:row r="31">
      <x:c r="A31" s="29" t="n">
        <x:v>30</x:v>
      </x:c>
      <x:c r="B31" s="30" t="n">
        <x:v>39</x:v>
      </x:c>
      <x:c r="C31" s="30" t="str">
        <x:v>China</x:v>
      </x:c>
      <x:c r="D31" s="30" t="str">
        <x:v>Chengdu</x:v>
      </x:c>
      <x:c r="E31" s="41" t="str">
        <x:v>JI Hotel (Chengdu Taikoo Li Hongxingqiao)</x:v>
      </x:c>
      <x:c r="F31" s="41" t="str">
        <x:v>JI Hotel</x:v>
      </x:c>
      <x:c r="G31" s="41" t="str">
        <x:v>RETAIN</x:v>
      </x:c>
      <x:c r="H31" s="41" t="str">
        <x:v>PHYSICAL_AI</x:v>
      </x:c>
      <x:c r="I31" s="41" t="str">
        <x:v>Service robots / robot delivery / self check-in</x:v>
      </x:c>
      <x:c r="J31" s="41" t="str">
        <x:v>KEEP_EXISTING_CANDIDATE</x:v>
      </x:c>
      <x:c r="K31" s="41" t="str">
        <x:v>MEDIUM-HIGH</x:v>
      </x:c>
      <x:c r="L31" s="41" t="str">
        <x:v>원본 목록의 Trip.com Service robots/robot delivery 명시 근거를 유지. 현행 표본 페이지 재점검으로 선정 규칙 타당성 확인.</x:v>
      </x:c>
      <x:c r="M31" s="41" t="str">
        <x:v>https://www.trip.com/hotels/chengdu-hotel-detail-132379667/ji-hotel/</x:v>
      </x:c>
      <x:c r="N31" s="41" t="str">
        <x:v>https://www.trip.com/hotels/chengdu-hotel-detail-132379667/ji-hotel/</x:v>
      </x:c>
      <x:c r="O31" s="42" t="str">
        <x:v>https://www.trip.com/hotels/chengdu-hotel-detail-132379667/ji-hotel/review.html</x:v>
      </x:c>
    </x:row>
    <x:row r="32">
      <x:c r="A32" s="29" t="n">
        <x:v>31</x:v>
      </x:c>
      <x:c r="B32" s="30" t="n">
        <x:v>40</x:v>
      </x:c>
      <x:c r="C32" s="30" t="str">
        <x:v>China</x:v>
      </x:c>
      <x:c r="D32" s="30" t="str">
        <x:v>Hangzhou</x:v>
      </x:c>
      <x:c r="E32" s="41" t="str">
        <x:v>JI Hotel (Hangzhou Binjiang Olympic Sports Center Jiangnan Avenue)</x:v>
      </x:c>
      <x:c r="F32" s="41" t="str">
        <x:v>JI Hotel</x:v>
      </x:c>
      <x:c r="G32" s="41" t="str">
        <x:v>RETAIN</x:v>
      </x:c>
      <x:c r="H32" s="41" t="str">
        <x:v>PHYSICAL_AI</x:v>
      </x:c>
      <x:c r="I32" s="41" t="str">
        <x:v>Service robots</x:v>
      </x:c>
      <x:c r="J32" s="41" t="str">
        <x:v>KEEP_EXISTING_CANDIDATE</x:v>
      </x:c>
      <x:c r="K32" s="41" t="str">
        <x:v>MEDIUM-HIGH</x:v>
      </x:c>
      <x:c r="L32" s="41" t="str">
        <x:v>원본 목록의 Trip.com Service robots/robot delivery 명시 근거를 유지. 현행 표본 페이지 재점검으로 선정 규칙 타당성 확인.</x:v>
      </x:c>
      <x:c r="M32" s="41" t="str">
        <x:v>https://www.trip.com/hotels/hangzhou-hotel-detail-1709968/ji-hotel/</x:v>
      </x:c>
      <x:c r="N32" s="41" t="str">
        <x:v>https://www.trip.com/hotels/hangzhou-hotel-detail-1709968/ji-hotel/</x:v>
      </x:c>
      <x:c r="O32" s="42" t="str">
        <x:v>https://www.trip.com/hotels/hangzhou-hotel-detail-1709968/ji-hotel/review.html</x:v>
      </x:c>
    </x:row>
    <x:row r="33">
      <x:c r="A33" s="29" t="n">
        <x:v>32</x:v>
      </x:c>
      <x:c r="B33" s="30" t="n">
        <x:v>41</x:v>
      </x:c>
      <x:c r="C33" s="30" t="str">
        <x:v>China</x:v>
      </x:c>
      <x:c r="D33" s="30" t="str">
        <x:v>Hangzhou</x:v>
      </x:c>
      <x:c r="E33" s="41" t="str">
        <x:v>JI Hotel (Hangzhou West Lake Hubin Jiefang Road)</x:v>
      </x:c>
      <x:c r="F33" s="41" t="str">
        <x:v>JI Hotel</x:v>
      </x:c>
      <x:c r="G33" s="41" t="str">
        <x:v>RETAIN</x:v>
      </x:c>
      <x:c r="H33" s="41" t="str">
        <x:v>PHYSICAL_AI</x:v>
      </x:c>
      <x:c r="I33" s="41" t="str">
        <x:v>Food delivery robots / Service robots</x:v>
      </x:c>
      <x:c r="J33" s="41" t="str">
        <x:v>KEEP_EXISTING_CANDIDATE</x:v>
      </x:c>
      <x:c r="K33" s="41" t="str">
        <x:v>MEDIUM-HIGH</x:v>
      </x:c>
      <x:c r="L33" s="41" t="str">
        <x:v>원본 목록의 Trip.com Service robots/robot delivery 명시 근거를 유지. 현행 표본 페이지 재점검으로 선정 규칙 타당성 확인.</x:v>
      </x:c>
      <x:c r="M33" s="41" t="str">
        <x:v>https://www.trip.com/hotels/hangzhou-hotel-detail-975714/ji-hotel/</x:v>
      </x:c>
      <x:c r="N33" s="41" t="str">
        <x:v>https://www.trip.com/hotels/hangzhou-hotel-detail-975714/ji-hotel/</x:v>
      </x:c>
      <x:c r="O33" s="42" t="str">
        <x:v>https://www.trip.com/hotels/hangzhou-hotel-detail-975714/ji-hotel/review.html</x:v>
      </x:c>
    </x:row>
    <x:row r="34">
      <x:c r="A34" s="29" t="n">
        <x:v>33</x:v>
      </x:c>
      <x:c r="B34" s="30" t="n">
        <x:v>42</x:v>
      </x:c>
      <x:c r="C34" s="30" t="str">
        <x:v>China</x:v>
      </x:c>
      <x:c r="D34" s="30" t="str">
        <x:v>Hangzhou</x:v>
      </x:c>
      <x:c r="E34" s="41" t="str">
        <x:v>JI Hotel (Hangzhou West Lake Hubin Pedestrian Street)</x:v>
      </x:c>
      <x:c r="F34" s="41" t="str">
        <x:v>JI Hotel</x:v>
      </x:c>
      <x:c r="G34" s="41" t="str">
        <x:v>RETAIN</x:v>
      </x:c>
      <x:c r="H34" s="41" t="str">
        <x:v>PHYSICAL_AI</x:v>
      </x:c>
      <x:c r="I34" s="41" t="str">
        <x:v>Food delivery robots / Service robots</x:v>
      </x:c>
      <x:c r="J34" s="41" t="str">
        <x:v>KEEP_EXISTING_CANDIDATE</x:v>
      </x:c>
      <x:c r="K34" s="41" t="str">
        <x:v>MEDIUM-HIGH</x:v>
      </x:c>
      <x:c r="L34" s="41" t="str">
        <x:v>원본 목록의 Trip.com Service robots/robot delivery 명시 근거를 유지. 현행 표본 페이지 재점검으로 선정 규칙 타당성 확인.</x:v>
      </x:c>
      <x:c r="M34" s="41" t="str">
        <x:v>https://www.trip.com/hotels/hangzhou-hotel-detail-57250579/ji-hotel/</x:v>
      </x:c>
      <x:c r="N34" s="41" t="str">
        <x:v>https://www.trip.com/hotels/hangzhou-hotel-detail-57250579/ji-hotel/</x:v>
      </x:c>
      <x:c r="O34" s="42" t="str">
        <x:v>https://www.trip.com/hotels/hangzhou-hotel-detail-57250579/ji-hotel/review.html</x:v>
      </x:c>
    </x:row>
    <x:row r="35">
      <x:c r="A35" s="29" t="n">
        <x:v>34</x:v>
      </x:c>
      <x:c r="B35" s="30" t="n">
        <x:v>43</x:v>
      </x:c>
      <x:c r="C35" s="30" t="str">
        <x:v>China</x:v>
      </x:c>
      <x:c r="D35" s="30" t="str">
        <x:v>Chongqing</x:v>
      </x:c>
      <x:c r="E35" s="41" t="str">
        <x:v>JI Hotel (Chongqing Dadukou Pedestrian Street Tian'an Digital City)</x:v>
      </x:c>
      <x:c r="F35" s="41" t="str">
        <x:v>JI Hotel</x:v>
      </x:c>
      <x:c r="G35" s="41" t="str">
        <x:v>RETAIN</x:v>
      </x:c>
      <x:c r="H35" s="41" t="str">
        <x:v>PHYSICAL_AI</x:v>
      </x:c>
      <x:c r="I35" s="41" t="str">
        <x:v>Service robots / delivery robot</x:v>
      </x:c>
      <x:c r="J35" s="41" t="str">
        <x:v>KEEP_EXISTING_CANDIDATE</x:v>
      </x:c>
      <x:c r="K35" s="41" t="str">
        <x:v>MEDIUM-HIGH</x:v>
      </x:c>
      <x:c r="L35" s="41" t="str">
        <x:v>원본 목록의 Trip.com Service robots/robot delivery 명시 근거를 유지. 현행 표본 페이지 재점검으로 선정 규칙 타당성 확인.</x:v>
      </x:c>
      <x:c r="M35" s="41" t="str">
        <x:v>https://www.trip.com/hotels/chongqing-hotel-detail-130931140/ji-hotel/</x:v>
      </x:c>
      <x:c r="N35" s="41" t="str">
        <x:v>https://www.trip.com/hotels/chongqing-hotel-detail-130931140/ji-hotel/</x:v>
      </x:c>
      <x:c r="O35" s="42" t="str">
        <x:v>https://www.trip.com/hotels/chongqing-hotel-detail-130931140/ji-hotel/review.html</x:v>
      </x:c>
    </x:row>
    <x:row r="36">
      <x:c r="A36" s="29" t="n">
        <x:v>35</x:v>
      </x:c>
      <x:c r="B36" s="30" t="n">
        <x:v>44</x:v>
      </x:c>
      <x:c r="C36" s="30" t="str">
        <x:v>China</x:v>
      </x:c>
      <x:c r="D36" s="30" t="str">
        <x:v>Chongqing</x:v>
      </x:c>
      <x:c r="E36" s="41" t="str">
        <x:v>JI Hotel (Chongqing University Town Xijie)</x:v>
      </x:c>
      <x:c r="F36" s="41" t="str">
        <x:v>JI Hotel</x:v>
      </x:c>
      <x:c r="G36" s="41" t="str">
        <x:v>RETAIN</x:v>
      </x:c>
      <x:c r="H36" s="41" t="str">
        <x:v>PHYSICAL_AI</x:v>
      </x:c>
      <x:c r="I36" s="41" t="str">
        <x:v>Food delivery robots / Service robots</x:v>
      </x:c>
      <x:c r="J36" s="41" t="str">
        <x:v>KEEP_EXISTING_CANDIDATE</x:v>
      </x:c>
      <x:c r="K36" s="41" t="str">
        <x:v>MEDIUM-HIGH</x:v>
      </x:c>
      <x:c r="L36" s="41" t="str">
        <x:v>원본 목록의 Trip.com Service robots/robot delivery 명시 근거를 유지. 현행 표본 페이지 재점검으로 선정 규칙 타당성 확인.</x:v>
      </x:c>
      <x:c r="M36" s="41" t="str">
        <x:v>https://www.trip.com/hotels/chongqing-hotel-detail-112214296/ji-hotel/</x:v>
      </x:c>
      <x:c r="N36" s="41" t="str">
        <x:v>https://www.trip.com/hotels/chongqing-hotel-detail-112214296/ji-hotel/</x:v>
      </x:c>
      <x:c r="O36" s="42" t="str">
        <x:v>https://www.trip.com/hotels/chongqing-hotel-detail-112214296/ji-hotel/review.html</x:v>
      </x:c>
    </x:row>
    <x:row r="37">
      <x:c r="A37" s="29" t="n">
        <x:v>36</x:v>
      </x:c>
      <x:c r="B37" s="30" t="n">
        <x:v>45</x:v>
      </x:c>
      <x:c r="C37" s="30" t="str">
        <x:v>China</x:v>
      </x:c>
      <x:c r="D37" s="30" t="str">
        <x:v>Hangzhou</x:v>
      </x:c>
      <x:c r="E37" s="41" t="str">
        <x:v>JI Hotel (Hangzhou West Lake Hubin Intime in77)</x:v>
      </x:c>
      <x:c r="F37" s="41" t="str">
        <x:v>JI Hotel</x:v>
      </x:c>
      <x:c r="G37" s="41" t="str">
        <x:v>RETAIN</x:v>
      </x:c>
      <x:c r="H37" s="41" t="str">
        <x:v>PHYSICAL_AI</x:v>
      </x:c>
      <x:c r="I37" s="41" t="str">
        <x:v>Service robots</x:v>
      </x:c>
      <x:c r="J37" s="41" t="str">
        <x:v>KEEP_EXISTING_CANDIDATE</x:v>
      </x:c>
      <x:c r="K37" s="41" t="str">
        <x:v>MEDIUM-HIGH</x:v>
      </x:c>
      <x:c r="L37" s="41" t="str">
        <x:v>원본 목록의 Trip.com Service robots/robot delivery 명시 근거를 유지. 현행 표본 페이지 재점검으로 선정 규칙 타당성 확인.</x:v>
      </x:c>
      <x:c r="M37" s="41" t="str">
        <x:v>https://www.trip.com/hotels/hangzhou-hotel-detail-670047/ji-hotel/</x:v>
      </x:c>
      <x:c r="N37" s="41" t="str">
        <x:v>https://www.trip.com/hotels/hangzhou-hotel-detail-670047/ji-hotel/</x:v>
      </x:c>
      <x:c r="O37" s="42" t="str">
        <x:v>https://www.trip.com/hotels/hangzhou-hotel-detail-670047/ji-hotel/review.html</x:v>
      </x:c>
    </x:row>
    <x:row r="38">
      <x:c r="A38" s="29" t="n">
        <x:v>37</x:v>
      </x:c>
      <x:c r="B38" s="30" t="n">
        <x:v>46</x:v>
      </x:c>
      <x:c r="C38" s="30" t="str">
        <x:v>China</x:v>
      </x:c>
      <x:c r="D38" s="30" t="str">
        <x:v>Hangzhou</x:v>
      </x:c>
      <x:c r="E38" s="41" t="str">
        <x:v>JI Hotel (Hangzhou Dajiangdong Baolongguangchang)</x:v>
      </x:c>
      <x:c r="F38" s="41" t="str">
        <x:v>JI Hotel</x:v>
      </x:c>
      <x:c r="G38" s="41" t="str">
        <x:v>RETAIN</x:v>
      </x:c>
      <x:c r="H38" s="41" t="str">
        <x:v>PHYSICAL_AI</x:v>
      </x:c>
      <x:c r="I38" s="41" t="str">
        <x:v>Service robots</x:v>
      </x:c>
      <x:c r="J38" s="41" t="str">
        <x:v>KEEP_EXISTING_CANDIDATE</x:v>
      </x:c>
      <x:c r="K38" s="41" t="str">
        <x:v>MEDIUM-HIGH</x:v>
      </x:c>
      <x:c r="L38" s="41" t="str">
        <x:v>원본 목록의 Trip.com Service robots/robot delivery 명시 근거를 유지. 현행 표본 페이지 재점검으로 선정 규칙 타당성 확인.</x:v>
      </x:c>
      <x:c r="M38" s="41" t="str">
        <x:v>https://www.trip.com/hotels/hangzhou-hotel-detail-81386046/ji-hotel/</x:v>
      </x:c>
      <x:c r="N38" s="41" t="str">
        <x:v>https://www.trip.com/hotels/hangzhou-hotel-detail-81386046/ji-hotel/</x:v>
      </x:c>
      <x:c r="O38" s="42" t="str">
        <x:v>https://www.trip.com/hotels/hangzhou-hotel-detail-81386046/ji-hotel/review.html</x:v>
      </x:c>
    </x:row>
    <x:row r="39">
      <x:c r="A39" s="29" t="n">
        <x:v>38</x:v>
      </x:c>
      <x:c r="B39" s="30" t="n">
        <x:v>47</x:v>
      </x:c>
      <x:c r="C39" s="30" t="str">
        <x:v>China</x:v>
      </x:c>
      <x:c r="D39" s="30" t="str">
        <x:v>Hangzhou</x:v>
      </x:c>
      <x:c r="E39" s="41" t="str">
        <x:v>JI Hotel (Hangzhou Qianjiang New Town Civic Center)</x:v>
      </x:c>
      <x:c r="F39" s="41" t="str">
        <x:v>JI Hotel</x:v>
      </x:c>
      <x:c r="G39" s="41" t="str">
        <x:v>RETAIN</x:v>
      </x:c>
      <x:c r="H39" s="41" t="str">
        <x:v>PHYSICAL_AI</x:v>
      </x:c>
      <x:c r="I39" s="41" t="str">
        <x:v>Food delivery robots / Service robots</x:v>
      </x:c>
      <x:c r="J39" s="41" t="str">
        <x:v>KEEP_EXISTING_CANDIDATE</x:v>
      </x:c>
      <x:c r="K39" s="41" t="str">
        <x:v>MEDIUM-HIGH</x:v>
      </x:c>
      <x:c r="L39" s="41" t="str">
        <x:v>원본 목록의 Trip.com Service robots/robot delivery 명시 근거를 유지. 현행 표본 페이지 재점검으로 선정 규칙 타당성 확인.</x:v>
      </x:c>
      <x:c r="M39" s="41" t="str">
        <x:v>https://www.trip.com/hotels/hangzhou-hotel-detail-55237868/ji-hotel/</x:v>
      </x:c>
      <x:c r="N39" s="41" t="str">
        <x:v>https://www.trip.com/hotels/hangzhou-hotel-detail-55237868/ji-hotel/</x:v>
      </x:c>
      <x:c r="O39" s="42" t="str">
        <x:v>https://www.trip.com/hotels/hangzhou-hotel-detail-55237868/ji-hotel/review.html</x:v>
      </x:c>
    </x:row>
    <x:row r="40">
      <x:c r="A40" s="29" t="n">
        <x:v>39</x:v>
      </x:c>
      <x:c r="B40" s="30" t="n">
        <x:v>48</x:v>
      </x:c>
      <x:c r="C40" s="30" t="str">
        <x:v>China</x:v>
      </x:c>
      <x:c r="D40" s="30" t="str">
        <x:v>Chongqing</x:v>
      </x:c>
      <x:c r="E40" s="41" t="str">
        <x:v>JI Hotel (Chongqing Liangjiang New Area Renhe)</x:v>
      </x:c>
      <x:c r="F40" s="41" t="str">
        <x:v>JI Hotel</x:v>
      </x:c>
      <x:c r="G40" s="41" t="str">
        <x:v>RETAIN</x:v>
      </x:c>
      <x:c r="H40" s="41" t="str">
        <x:v>PHYSICAL_AI</x:v>
      </x:c>
      <x:c r="I40" s="41" t="str">
        <x:v>Service robots / delivery robots</x:v>
      </x:c>
      <x:c r="J40" s="41" t="str">
        <x:v>KEEP_EXISTING_CANDIDATE</x:v>
      </x:c>
      <x:c r="K40" s="41" t="str">
        <x:v>MEDIUM-HIGH</x:v>
      </x:c>
      <x:c r="L40" s="41" t="str">
        <x:v>원본 목록의 Trip.com Service robots/robot delivery 명시 근거를 유지. 현행 표본 페이지 재점검으로 선정 규칙 타당성 확인.</x:v>
      </x:c>
      <x:c r="M40" s="41" t="str">
        <x:v>https://www.trip.com/hotels/chongqing-hotel-detail-53157121/ji-hotel/</x:v>
      </x:c>
      <x:c r="N40" s="41" t="str">
        <x:v>https://www.trip.com/hotels/chongqing-hotel-detail-53157121/ji-hotel/</x:v>
      </x:c>
      <x:c r="O40" s="42" t="str">
        <x:v>https://www.trip.com/hotels/chongqing-hotel-detail-53157121/ji-hotel/review.html</x:v>
      </x:c>
    </x:row>
    <x:row r="41">
      <x:c r="A41" s="29" t="n">
        <x:v>40</x:v>
      </x:c>
      <x:c r="B41" s="30" t="n">
        <x:v>49</x:v>
      </x:c>
      <x:c r="C41" s="30" t="str">
        <x:v>China</x:v>
      </x:c>
      <x:c r="D41" s="30" t="str">
        <x:v>Hangzhou</x:v>
      </x:c>
      <x:c r="E41" s="41" t="str">
        <x:v>JI Hotel (Hangzhou Xihu Hefang Street)</x:v>
      </x:c>
      <x:c r="F41" s="41" t="str">
        <x:v>JI Hotel</x:v>
      </x:c>
      <x:c r="G41" s="41" t="str">
        <x:v>RETAIN</x:v>
      </x:c>
      <x:c r="H41" s="41" t="str">
        <x:v>PHYSICAL_AI</x:v>
      </x:c>
      <x:c r="I41" s="41" t="str">
        <x:v>Service robots</x:v>
      </x:c>
      <x:c r="J41" s="41" t="str">
        <x:v>KEEP_EXISTING_CANDIDATE</x:v>
      </x:c>
      <x:c r="K41" s="41" t="str">
        <x:v>MEDIUM-HIGH</x:v>
      </x:c>
      <x:c r="L41" s="41" t="str">
        <x:v>원본 목록의 Trip.com Service robots/robot delivery 명시 근거를 유지. 현행 표본 페이지 재점검으로 선정 규칙 타당성 확인.</x:v>
      </x:c>
      <x:c r="M41" s="41" t="str">
        <x:v>https://www.trip.com/hotels/hangzhou-hotel-detail-2313594/ji-hotel/</x:v>
      </x:c>
      <x:c r="N41" s="41" t="str">
        <x:v>https://www.trip.com/hotels/hangzhou-hotel-detail-2313594/ji-hotel/</x:v>
      </x:c>
      <x:c r="O41" s="42" t="str">
        <x:v>https://www.trip.com/hotels/hangzhou-hotel-detail-2313594/ji-hotel/review.html</x:v>
      </x:c>
    </x:row>
    <x:row r="42">
      <x:c r="A42" s="29" t="n">
        <x:v>41</x:v>
      </x:c>
      <x:c r="B42" s="30" t="n">
        <x:v>50</x:v>
      </x:c>
      <x:c r="C42" s="30" t="str">
        <x:v>China</x:v>
      </x:c>
      <x:c r="D42" s="30" t="str">
        <x:v>Hangzhou</x:v>
      </x:c>
      <x:c r="E42" s="41" t="str">
        <x:v>JI Hotel (Hangzhou Qingchun Road)</x:v>
      </x:c>
      <x:c r="F42" s="41" t="str">
        <x:v>JI Hotel</x:v>
      </x:c>
      <x:c r="G42" s="41" t="str">
        <x:v>RETAIN</x:v>
      </x:c>
      <x:c r="H42" s="41" t="str">
        <x:v>PHYSICAL_AI</x:v>
      </x:c>
      <x:c r="I42" s="41" t="str">
        <x:v>Service robots</x:v>
      </x:c>
      <x:c r="J42" s="41" t="str">
        <x:v>KEEP_EXISTING_CANDIDATE</x:v>
      </x:c>
      <x:c r="K42" s="41" t="str">
        <x:v>MEDIUM-HIGH</x:v>
      </x:c>
      <x:c r="L42" s="41" t="str">
        <x:v>원본 목록의 Trip.com Service robots/robot delivery 명시 근거를 유지. 현행 표본 페이지 재점검으로 선정 규칙 타당성 확인.</x:v>
      </x:c>
      <x:c r="M42" s="41" t="str">
        <x:v>https://www.trip.com/hotels/hangzhou-hotel-detail-5373233/ji-hotel/</x:v>
      </x:c>
      <x:c r="N42" s="41" t="str">
        <x:v>https://www.trip.com/hotels/hangzhou-hotel-detail-5373233/ji-hotel/</x:v>
      </x:c>
      <x:c r="O42" s="42" t="str">
        <x:v>https://www.trip.com/hotels/hangzhou-hotel-detail-5373233/ji-hotel/review.html</x:v>
      </x:c>
    </x:row>
    <x:row r="43">
      <x:c r="A43" s="29" t="n">
        <x:v>42</x:v>
      </x:c>
      <x:c r="B43" s="30" t="n">
        <x:v>51</x:v>
      </x:c>
      <x:c r="C43" s="30" t="str">
        <x:v>China</x:v>
      </x:c>
      <x:c r="D43" s="30" t="str">
        <x:v>Hangzhou</x:v>
      </x:c>
      <x:c r="E43" s="41" t="str">
        <x:v>JI Hotel (Hangzhou Qianjiang New Town)</x:v>
      </x:c>
      <x:c r="F43" s="41" t="str">
        <x:v>JI Hotel</x:v>
      </x:c>
      <x:c r="G43" s="41" t="str">
        <x:v>RETAIN</x:v>
      </x:c>
      <x:c r="H43" s="41" t="str">
        <x:v>PHYSICAL_AI</x:v>
      </x:c>
      <x:c r="I43" s="41" t="str">
        <x:v>Food delivery robots / Service robots / self check-in</x:v>
      </x:c>
      <x:c r="J43" s="41" t="str">
        <x:v>KEEP_EXISTING_CANDIDATE</x:v>
      </x:c>
      <x:c r="K43" s="41" t="str">
        <x:v>MEDIUM-HIGH</x:v>
      </x:c>
      <x:c r="L43" s="41" t="str">
        <x:v>원본 목록의 Trip.com Service robots/robot delivery 명시 근거를 유지. 현행 표본 페이지 재점검으로 선정 규칙 타당성 확인.</x:v>
      </x:c>
      <x:c r="M43" s="41" t="str">
        <x:v>https://www.trip.com/hotels/hangzhou-hotel-detail-6112145/ji-hotel/</x:v>
      </x:c>
      <x:c r="N43" s="41" t="str">
        <x:v>https://www.trip.com/hotels/hangzhou-hotel-detail-6112145/ji-hotel/</x:v>
      </x:c>
      <x:c r="O43" s="42" t="str">
        <x:v>https://www.trip.com/hotels/hangzhou-hotel-detail-6112145/ji-hotel/review.html</x:v>
      </x:c>
    </x:row>
    <x:row r="44">
      <x:c r="A44" s="29" t="n">
        <x:v>43</x:v>
      </x:c>
      <x:c r="B44" s="30" t="n">
        <x:v>52</x:v>
      </x:c>
      <x:c r="C44" s="30" t="str">
        <x:v>China</x:v>
      </x:c>
      <x:c r="D44" s="30" t="str">
        <x:v>Chengdu</x:v>
      </x:c>
      <x:c r="E44" s="41" t="str">
        <x:v>JI Hotel (Chunxi Road, Shuncheng Main Street, Chengdu)</x:v>
      </x:c>
      <x:c r="F44" s="41" t="str">
        <x:v>JI Hotel</x:v>
      </x:c>
      <x:c r="G44" s="41" t="str">
        <x:v>RETAIN</x:v>
      </x:c>
      <x:c r="H44" s="41" t="str">
        <x:v>PHYSICAL_AI</x:v>
      </x:c>
      <x:c r="I44" s="41" t="str">
        <x:v>Service robots / self check-in</x:v>
      </x:c>
      <x:c r="J44" s="41" t="str">
        <x:v>KEEP_EXISTING_CANDIDATE</x:v>
      </x:c>
      <x:c r="K44" s="41" t="str">
        <x:v>MEDIUM-HIGH</x:v>
      </x:c>
      <x:c r="L44" s="41" t="str">
        <x:v>원본 목록의 Trip.com Service robots/robot delivery 명시 근거를 유지. 현행 표본 페이지 재점검으로 선정 규칙 타당성 확인.</x:v>
      </x:c>
      <x:c r="M44" s="41" t="str">
        <x:v>https://www.trip.com/hotels/chengdu-hotel-detail-33600029/ji-hotel/</x:v>
      </x:c>
      <x:c r="N44" s="41" t="str">
        <x:v>https://www.trip.com/hotels/chengdu-hotel-detail-33600029/ji-hotel/</x:v>
      </x:c>
      <x:c r="O44" s="42" t="str">
        <x:v>https://www.trip.com/hotels/chengdu-hotel-detail-33600029/ji-hotel/review.html</x:v>
      </x:c>
    </x:row>
    <x:row r="45">
      <x:c r="A45" s="29" t="n">
        <x:v>44</x:v>
      </x:c>
      <x:c r="B45" s="30" t="n">
        <x:v>53</x:v>
      </x:c>
      <x:c r="C45" s="30" t="str">
        <x:v>China</x:v>
      </x:c>
      <x:c r="D45" s="30" t="str">
        <x:v>Beijing</x:v>
      </x:c>
      <x:c r="E45" s="41" t="str">
        <x:v>JI Hotel (Beijing Temple Of Heaven)</x:v>
      </x:c>
      <x:c r="F45" s="41" t="str">
        <x:v>JI Hotel</x:v>
      </x:c>
      <x:c r="G45" s="41" t="str">
        <x:v>RETAIN</x:v>
      </x:c>
      <x:c r="H45" s="41" t="str">
        <x:v>PHYSICAL_AI</x:v>
      </x:c>
      <x:c r="I45" s="41" t="str">
        <x:v>Service robots / self check-in</x:v>
      </x:c>
      <x:c r="J45" s="41" t="str">
        <x:v>KEEP_EXISTING_CANDIDATE</x:v>
      </x:c>
      <x:c r="K45" s="41" t="str">
        <x:v>MEDIUM-HIGH</x:v>
      </x:c>
      <x:c r="L45" s="41" t="str">
        <x:v>원본 목록의 Trip.com Service robots/robot delivery 명시 근거를 유지. 현행 표본 페이지 재점검으로 선정 규칙 타당성 확인.</x:v>
      </x:c>
      <x:c r="M45" s="41" t="str">
        <x:v>https://www.trip.com/hotels/beijing-hotel-detail-1116141/ji-hotel/</x:v>
      </x:c>
      <x:c r="N45" s="41" t="str">
        <x:v>https://www.trip.com/hotels/beijing-hotel-detail-1116141/ji-hotel/</x:v>
      </x:c>
      <x:c r="O45" s="42" t="str">
        <x:v>https://www.trip.com/hotels/beijing-hotel-detail-1116141/ji-hotel/review.html</x:v>
      </x:c>
    </x:row>
    <x:row r="46">
      <x:c r="A46" s="29" t="n">
        <x:v>45</x:v>
      </x:c>
      <x:c r="B46" s="30" t="n">
        <x:v>54</x:v>
      </x:c>
      <x:c r="C46" s="30" t="str">
        <x:v>China</x:v>
      </x:c>
      <x:c r="D46" s="30" t="str">
        <x:v>Beijing</x:v>
      </x:c>
      <x:c r="E46" s="41" t="str">
        <x:v>JI Hotel (Beijing Wangjing Kejiyuan)</x:v>
      </x:c>
      <x:c r="F46" s="41" t="str">
        <x:v>JI Hotel</x:v>
      </x:c>
      <x:c r="G46" s="41" t="str">
        <x:v>RETAIN</x:v>
      </x:c>
      <x:c r="H46" s="41" t="str">
        <x:v>PHYSICAL_AI</x:v>
      </x:c>
      <x:c r="I46" s="41" t="str">
        <x:v>Service robots</x:v>
      </x:c>
      <x:c r="J46" s="41" t="str">
        <x:v>KEEP_EXISTING_CANDIDATE</x:v>
      </x:c>
      <x:c r="K46" s="41" t="str">
        <x:v>MEDIUM-HIGH</x:v>
      </x:c>
      <x:c r="L46" s="41" t="str">
        <x:v>원본 목록의 Trip.com Service robots/robot delivery 명시 근거를 유지. 현행 표본 페이지 재점검으로 선정 규칙 타당성 확인.</x:v>
      </x:c>
      <x:c r="M46" s="41" t="str">
        <x:v>https://www.trip.com/hotels/beijing-hotel-detail-124327621/ji-hotel/</x:v>
      </x:c>
      <x:c r="N46" s="41" t="str">
        <x:v>https://www.trip.com/hotels/beijing-hotel-detail-124327621/ji-hotel/</x:v>
      </x:c>
      <x:c r="O46" s="42" t="str">
        <x:v>https://www.trip.com/hotels/beijing-hotel-detail-124327621/ji-hotel/review.html</x:v>
      </x:c>
    </x:row>
    <x:row r="47">
      <x:c r="A47" s="29" t="n">
        <x:v>46</x:v>
      </x:c>
      <x:c r="B47" s="30" t="n">
        <x:v>55</x:v>
      </x:c>
      <x:c r="C47" s="30" t="str">
        <x:v>China</x:v>
      </x:c>
      <x:c r="D47" s="30" t="str">
        <x:v>Guangzhou</x:v>
      </x:c>
      <x:c r="E47" s="41" t="str">
        <x:v>JI Hotel (Guangzhou Huangpu Dashadong Subway Station)</x:v>
      </x:c>
      <x:c r="F47" s="41" t="str">
        <x:v>JI Hotel</x:v>
      </x:c>
      <x:c r="G47" s="41" t="str">
        <x:v>RETAIN</x:v>
      </x:c>
      <x:c r="H47" s="41" t="str">
        <x:v>PHYSICAL_AI</x:v>
      </x:c>
      <x:c r="I47" s="41" t="str">
        <x:v>Service robots</x:v>
      </x:c>
      <x:c r="J47" s="41" t="str">
        <x:v>KEEP_EXISTING_CANDIDATE</x:v>
      </x:c>
      <x:c r="K47" s="41" t="str">
        <x:v>MEDIUM-HIGH</x:v>
      </x:c>
      <x:c r="L47" s="41" t="str">
        <x:v>원본 목록의 Trip.com Service robots/robot delivery 명시 근거를 유지. 현행 표본 페이지 재점검으로 선정 규칙 타당성 확인.</x:v>
      </x:c>
      <x:c r="M47" s="41" t="str">
        <x:v>https://www.trip.com/hotels/guangzhou-hotel-detail-123567305/ji-hotel/</x:v>
      </x:c>
      <x:c r="N47" s="41" t="str">
        <x:v>https://www.trip.com/hotels/guangzhou-hotel-detail-123567305/ji-hotel/</x:v>
      </x:c>
      <x:c r="O47" s="42" t="str">
        <x:v>https://www.trip.com/hotels/guangzhou-hotel-detail-123567305/ji-hotel/review.html</x:v>
      </x:c>
    </x:row>
    <x:row r="48">
      <x:c r="A48" s="29" t="n">
        <x:v>47</x:v>
      </x:c>
      <x:c r="B48" s="30" t="n">
        <x:v>56</x:v>
      </x:c>
      <x:c r="C48" s="30" t="str">
        <x:v>China</x:v>
      </x:c>
      <x:c r="D48" s="30" t="str">
        <x:v>Guangzhou</x:v>
      </x:c>
      <x:c r="E48" s="41" t="str">
        <x:v>Atour Hotel (Guangzhou Tower, Haixin Bridge)</x:v>
      </x:c>
      <x:c r="F48" s="41" t="str">
        <x:v>Atour Hotel</x:v>
      </x:c>
      <x:c r="G48" s="41" t="str">
        <x:v>RETAIN</x:v>
      </x:c>
      <x:c r="H48" s="41" t="str">
        <x:v>PHYSICAL_AI</x:v>
      </x:c>
      <x:c r="I48" s="41" t="str">
        <x:v>Service robots</x:v>
      </x:c>
      <x:c r="J48" s="41" t="str">
        <x:v>KEEP_EXISTING_CANDIDATE</x:v>
      </x:c>
      <x:c r="K48" s="41" t="str">
        <x:v>MEDIUM-HIGH</x:v>
      </x:c>
      <x:c r="L48" s="41" t="str">
        <x:v>원본 목록의 Trip.com Service robots/robot delivery 명시 근거를 유지. 현행 표본 페이지 재점검으로 선정 규칙 타당성 확인.</x:v>
      </x:c>
      <x:c r="M48" s="41" t="str">
        <x:v>https://www.trip.com/hotels/guangzhou-hotel-detail-134054629/atour-hotel/</x:v>
      </x:c>
      <x:c r="N48" s="41" t="str">
        <x:v>https://www.trip.com/hotels/guangzhou-hotel-detail-134054629/atour-hotel/</x:v>
      </x:c>
      <x:c r="O48" s="42" t="str">
        <x:v>https://www.trip.com/hotels/guangzhou-hotel-detail-134054629/atour-hotel/review.html</x:v>
      </x:c>
    </x:row>
    <x:row r="49">
      <x:c r="A49" s="29" t="n">
        <x:v>48</x:v>
      </x:c>
      <x:c r="B49" s="30" t="n">
        <x:v>57</x:v>
      </x:c>
      <x:c r="C49" s="30" t="str">
        <x:v>China</x:v>
      </x:c>
      <x:c r="D49" s="30" t="str">
        <x:v>Shanghai</x:v>
      </x:c>
      <x:c r="E49" s="41" t="str">
        <x:v>JI Hotel (Shanghai Jumen Road)</x:v>
      </x:c>
      <x:c r="F49" s="41" t="str">
        <x:v>JI Hotel</x:v>
      </x:c>
      <x:c r="G49" s="41" t="str">
        <x:v>RETAIN</x:v>
      </x:c>
      <x:c r="H49" s="41" t="str">
        <x:v>PHYSICAL_AI</x:v>
      </x:c>
      <x:c r="I49" s="41" t="str">
        <x:v>Service robots / self check-in</x:v>
      </x:c>
      <x:c r="J49" s="41" t="str">
        <x:v>KEEP_EXISTING_CANDIDATE</x:v>
      </x:c>
      <x:c r="K49" s="41" t="str">
        <x:v>MEDIUM-HIGH</x:v>
      </x:c>
      <x:c r="L49" s="41" t="str">
        <x:v>원본 목록의 Trip.com Service robots/robot delivery 명시 근거를 유지. 현행 표본 페이지 재점검으로 선정 규칙 타당성 확인.</x:v>
      </x:c>
      <x:c r="M49" s="41" t="str">
        <x:v>https://www.trip.com/hotels/shanghai-hotel-detail-479816/ji-hotel/</x:v>
      </x:c>
      <x:c r="N49" s="41" t="str">
        <x:v>https://www.trip.com/hotels/shanghai-hotel-detail-479816/ji-hotel/</x:v>
      </x:c>
      <x:c r="O49" s="42" t="str">
        <x:v>https://www.trip.com/hotels/shanghai-hotel-detail-479816/ji-hotel/review.html</x:v>
      </x:c>
    </x:row>
    <x:row r="50">
      <x:c r="A50" s="29" t="n">
        <x:v>49</x:v>
      </x:c>
      <x:c r="B50" s="30" t="n">
        <x:v>58</x:v>
      </x:c>
      <x:c r="C50" s="30" t="str">
        <x:v>China</x:v>
      </x:c>
      <x:c r="D50" s="30" t="str">
        <x:v>Shanghai</x:v>
      </x:c>
      <x:c r="E50" s="41" t="str">
        <x:v>JI Hotel (Shanghai Jiangning Road Subway Station)</x:v>
      </x:c>
      <x:c r="F50" s="41" t="str">
        <x:v>JI Hotel</x:v>
      </x:c>
      <x:c r="G50" s="41" t="str">
        <x:v>RETAIN</x:v>
      </x:c>
      <x:c r="H50" s="41" t="str">
        <x:v>PHYSICAL_AI</x:v>
      </x:c>
      <x:c r="I50" s="41" t="str">
        <x:v>Service robots</x:v>
      </x:c>
      <x:c r="J50" s="41" t="str">
        <x:v>KEEP_EXISTING_CANDIDATE</x:v>
      </x:c>
      <x:c r="K50" s="41" t="str">
        <x:v>MEDIUM-HIGH</x:v>
      </x:c>
      <x:c r="L50" s="41" t="str">
        <x:v>원본 목록의 Trip.com Service robots/robot delivery 명시 근거를 유지. 현행 표본 페이지 재점검으로 선정 규칙 타당성 확인.</x:v>
      </x:c>
      <x:c r="M50" s="41" t="str">
        <x:v>https://www.trip.com/hotels/shanghai-hotel-detail-38320252/ji-hotel/</x:v>
      </x:c>
      <x:c r="N50" s="41" t="str">
        <x:v>https://www.trip.com/hotels/shanghai-hotel-detail-38320252/ji-hotel/</x:v>
      </x:c>
      <x:c r="O50" s="42" t="str">
        <x:v>https://www.trip.com/hotels/shanghai-hotel-detail-38320252/ji-hotel/review.html</x:v>
      </x:c>
    </x:row>
    <x:row r="51">
      <x:c r="A51" s="29" t="n">
        <x:v>50</x:v>
      </x:c>
      <x:c r="B51" s="30" t="n">
        <x:v>59</x:v>
      </x:c>
      <x:c r="C51" s="30" t="str">
        <x:v>China</x:v>
      </x:c>
      <x:c r="D51" s="30" t="str">
        <x:v>Shenzhen</x:v>
      </x:c>
      <x:c r="E51" s="41" t="str">
        <x:v>Orange Hotel (Shenzhen Window of the World)</x:v>
      </x:c>
      <x:c r="F51" s="41" t="str">
        <x:v>Orange Hotel</x:v>
      </x:c>
      <x:c r="G51" s="41" t="str">
        <x:v>RETAIN</x:v>
      </x:c>
      <x:c r="H51" s="41" t="str">
        <x:v>PHYSICAL_AI</x:v>
      </x:c>
      <x:c r="I51" s="41" t="str">
        <x:v>Service robots</x:v>
      </x:c>
      <x:c r="J51" s="41" t="str">
        <x:v>KEEP_EXISTING_CANDIDATE</x:v>
      </x:c>
      <x:c r="K51" s="41" t="str">
        <x:v>MEDIUM-HIGH</x:v>
      </x:c>
      <x:c r="L51" s="41" t="str">
        <x:v>원본 목록의 Trip.com Service robots/robot delivery 명시 근거를 유지. 현행 표본 페이지 재점검으로 선정 규칙 타당성 확인.</x:v>
      </x:c>
      <x:c r="M51" s="41" t="str">
        <x:v>https://www.trip.com/hotels/shenzhen-hotel-detail-127900252/orange-hotel/</x:v>
      </x:c>
      <x:c r="N51" s="41" t="str">
        <x:v>https://www.trip.com/hotels/shenzhen-hotel-detail-127900252/orange-hotel/</x:v>
      </x:c>
      <x:c r="O51" s="42" t="str">
        <x:v>https://www.trip.com/hotels/shenzhen-hotel-detail-127900252/orange-hotel/review.html</x:v>
      </x:c>
    </x:row>
    <x:row r="52">
      <x:c r="A52" s="29" t="n">
        <x:v>51</x:v>
      </x:c>
      <x:c r="B52" s="30" t="n">
        <x:v>60</x:v>
      </x:c>
      <x:c r="C52" s="30" t="str">
        <x:v>China</x:v>
      </x:c>
      <x:c r="D52" s="30" t="str">
        <x:v>Shenzhen</x:v>
      </x:c>
      <x:c r="E52" s="41" t="str">
        <x:v>Orange Hotel (Shenzhen Qinghu Subway Station)</x:v>
      </x:c>
      <x:c r="F52" s="41" t="str">
        <x:v>Orange Hotel</x:v>
      </x:c>
      <x:c r="G52" s="41" t="str">
        <x:v>RETAIN</x:v>
      </x:c>
      <x:c r="H52" s="41" t="str">
        <x:v>PHYSICAL_AI</x:v>
      </x:c>
      <x:c r="I52" s="41" t="str">
        <x:v>Service robots</x:v>
      </x:c>
      <x:c r="J52" s="41" t="str">
        <x:v>KEEP_EXISTING_CANDIDATE</x:v>
      </x:c>
      <x:c r="K52" s="41" t="str">
        <x:v>MEDIUM-HIGH</x:v>
      </x:c>
      <x:c r="L52" s="41" t="str">
        <x:v>원본 목록의 Trip.com Service robots/robot delivery 명시 근거를 유지. 현행 표본 페이지 재점검으로 선정 규칙 타당성 확인.</x:v>
      </x:c>
      <x:c r="M52" s="41" t="str">
        <x:v>https://www.trip.com/hotels/shenzhen-hotel-detail-106558867/orange-hotel/</x:v>
      </x:c>
      <x:c r="N52" s="41" t="str">
        <x:v>https://www.trip.com/hotels/shenzhen-hotel-detail-106558867/orange-hotel/</x:v>
      </x:c>
      <x:c r="O52" s="42" t="str">
        <x:v>https://www.trip.com/hotels/shenzhen-hotel-detail-106558867/orange-hotel/review.html</x:v>
      </x:c>
    </x:row>
    <x:row r="53">
      <x:c r="A53" s="29" t="n">
        <x:v>52</x:v>
      </x:c>
      <x:c r="B53" s="30" t="n">
        <x:v>61</x:v>
      </x:c>
      <x:c r="C53" s="30" t="str">
        <x:v>China</x:v>
      </x:c>
      <x:c r="D53" s="30" t="str">
        <x:v>Shanghai</x:v>
      </x:c>
      <x:c r="E53" s="41" t="str">
        <x:v>JI Hotel (Shanghai Hongmei South Road)</x:v>
      </x:c>
      <x:c r="F53" s="41" t="str">
        <x:v>JI Hotel</x:v>
      </x:c>
      <x:c r="G53" s="41" t="str">
        <x:v>RETAIN</x:v>
      </x:c>
      <x:c r="H53" s="41" t="str">
        <x:v>PHYSICAL_AI</x:v>
      </x:c>
      <x:c r="I53" s="41" t="str">
        <x:v>Service robots</x:v>
      </x:c>
      <x:c r="J53" s="41" t="str">
        <x:v>KEEP_EXISTING_CANDIDATE</x:v>
      </x:c>
      <x:c r="K53" s="41" t="str">
        <x:v>MEDIUM-HIGH</x:v>
      </x:c>
      <x:c r="L53" s="41" t="str">
        <x:v>원본 목록의 Trip.com Service robots/robot delivery 명시 근거를 유지. 현행 표본 페이지 재점검으로 선정 규칙 타당성 확인.</x:v>
      </x:c>
      <x:c r="M53" s="41" t="str">
        <x:v>https://www.trip.com/hotels/shanghai-hotel-detail-26205119/ji-hotel/</x:v>
      </x:c>
      <x:c r="N53" s="41" t="str">
        <x:v>https://www.trip.com/hotels/shanghai-hotel-detail-26205119/ji-hotel/</x:v>
      </x:c>
      <x:c r="O53" s="42" t="str">
        <x:v>https://www.trip.com/hotels/shanghai-hotel-detail-26205119/ji-hotel/review.html</x:v>
      </x:c>
    </x:row>
    <x:row r="54">
      <x:c r="A54" s="29" t="n">
        <x:v>53</x:v>
      </x:c>
      <x:c r="B54" s="30" t="n">
        <x:v>62</x:v>
      </x:c>
      <x:c r="C54" s="30" t="str">
        <x:v>China</x:v>
      </x:c>
      <x:c r="D54" s="30" t="str">
        <x:v>Shanghai</x:v>
      </x:c>
      <x:c r="E54" s="41" t="str">
        <x:v>JI Hotel (Shanghai Yan'an Road)</x:v>
      </x:c>
      <x:c r="F54" s="41" t="str">
        <x:v>JI Hotel</x:v>
      </x:c>
      <x:c r="G54" s="41" t="str">
        <x:v>RETAIN</x:v>
      </x:c>
      <x:c r="H54" s="41" t="str">
        <x:v>PHYSICAL_AI</x:v>
      </x:c>
      <x:c r="I54" s="41" t="str">
        <x:v>Service robots / robot delivery</x:v>
      </x:c>
      <x:c r="J54" s="41" t="str">
        <x:v>KEEP_EXISTING_CANDIDATE</x:v>
      </x:c>
      <x:c r="K54" s="41" t="str">
        <x:v>MEDIUM-HIGH</x:v>
      </x:c>
      <x:c r="L54" s="41" t="str">
        <x:v>원본 목록의 Trip.com Service robots/robot delivery 명시 근거를 유지. 현행 표본 페이지 재점검으로 선정 규칙 타당성 확인.</x:v>
      </x:c>
      <x:c r="M54" s="41" t="str">
        <x:v>https://www.trip.com/hotels/shanghai-hotel-detail-919928/ji-hotel/</x:v>
      </x:c>
      <x:c r="N54" s="41" t="str">
        <x:v>https://www.trip.com/hotels/shanghai-hotel-detail-919928/ji-hotel/</x:v>
      </x:c>
      <x:c r="O54" s="42" t="str">
        <x:v>https://www.trip.com/hotels/shanghai-hotel-detail-919928/ji-hotel/review.html</x:v>
      </x:c>
    </x:row>
    <x:row r="55">
      <x:c r="A55" s="29" t="n">
        <x:v>54</x:v>
      </x:c>
      <x:c r="B55" s="30" t="n">
        <x:v>63</x:v>
      </x:c>
      <x:c r="C55" s="30" t="str">
        <x:v>China</x:v>
      </x:c>
      <x:c r="D55" s="30" t="str">
        <x:v>Suzhou</x:v>
      </x:c>
      <x:c r="E55" s="41" t="str">
        <x:v>JI Hotel (Suzhou Guanqian Street Leqiao Subway Station)</x:v>
      </x:c>
      <x:c r="F55" s="41" t="str">
        <x:v>JI Hotel</x:v>
      </x:c>
      <x:c r="G55" s="41" t="str">
        <x:v>RETAIN</x:v>
      </x:c>
      <x:c r="H55" s="41" t="str">
        <x:v>PHYSICAL_AI</x:v>
      </x:c>
      <x:c r="I55" s="41" t="str">
        <x:v>Service robots</x:v>
      </x:c>
      <x:c r="J55" s="41" t="str">
        <x:v>KEEP_EXISTING_CANDIDATE</x:v>
      </x:c>
      <x:c r="K55" s="41" t="str">
        <x:v>MEDIUM-HIGH</x:v>
      </x:c>
      <x:c r="L55" s="41" t="str">
        <x:v>원본 목록의 Trip.com Service robots/robot delivery 명시 근거를 유지. 현행 표본 페이지 재점검으로 선정 규칙 타당성 확인.</x:v>
      </x:c>
      <x:c r="M55" s="41" t="str">
        <x:v>https://www.trip.com/hotels/suzhou-hotel-detail-443483/ji-hotel/</x:v>
      </x:c>
      <x:c r="N55" s="41" t="str">
        <x:v>https://www.trip.com/hotels/suzhou-hotel-detail-443483/ji-hotel/</x:v>
      </x:c>
      <x:c r="O55" s="42" t="str">
        <x:v>https://www.trip.com/hotels/suzhou-hotel-detail-443483/ji-hotel/review.html</x:v>
      </x:c>
    </x:row>
    <x:row r="56">
      <x:c r="A56" s="29" t="n">
        <x:v>55</x:v>
      </x:c>
      <x:c r="B56" s="30" t="n">
        <x:v>64</x:v>
      </x:c>
      <x:c r="C56" s="30" t="str">
        <x:v>China</x:v>
      </x:c>
      <x:c r="D56" s="30" t="str">
        <x:v>Wuhan</x:v>
      </x:c>
      <x:c r="E56" s="41" t="str">
        <x:v>JI Hotel (Wuhan Hankou Xinhua Road)</x:v>
      </x:c>
      <x:c r="F56" s="41" t="str">
        <x:v>JI Hotel</x:v>
      </x:c>
      <x:c r="G56" s="41" t="str">
        <x:v>RETAIN</x:v>
      </x:c>
      <x:c r="H56" s="41" t="str">
        <x:v>PHYSICAL_AI</x:v>
      </x:c>
      <x:c r="I56" s="41" t="str">
        <x:v>Service robots</x:v>
      </x:c>
      <x:c r="J56" s="41" t="str">
        <x:v>KEEP_EXISTING_CANDIDATE</x:v>
      </x:c>
      <x:c r="K56" s="41" t="str">
        <x:v>MEDIUM-HIGH</x:v>
      </x:c>
      <x:c r="L56" s="41" t="str">
        <x:v>원본 목록의 Trip.com Service robots/robot delivery 명시 근거를 유지. 현행 표본 페이지 재점검으로 선정 규칙 타당성 확인.</x:v>
      </x:c>
      <x:c r="M56" s="41" t="str">
        <x:v>https://www.trip.com/hotels/wuhan-hotel-detail-17502969/ji-hotel/</x:v>
      </x:c>
      <x:c r="N56" s="41" t="str">
        <x:v>https://www.trip.com/hotels/wuhan-hotel-detail-17502969/ji-hotel/</x:v>
      </x:c>
      <x:c r="O56" s="42" t="str">
        <x:v>https://www.trip.com/hotels/wuhan-hotel-detail-17502969/ji-hotel/review.html</x:v>
      </x:c>
    </x:row>
    <x:row r="57">
      <x:c r="A57" s="29" t="n">
        <x:v>56</x:v>
      </x:c>
      <x:c r="B57" s="30" t="n">
        <x:v>65</x:v>
      </x:c>
      <x:c r="C57" s="30" t="str">
        <x:v>China</x:v>
      </x:c>
      <x:c r="D57" s="30" t="str">
        <x:v>Wuhan</x:v>
      </x:c>
      <x:c r="E57" s="41" t="str">
        <x:v>JI Hotel (Wuhan Gongcheng Daxue Guanggu Yi Road)</x:v>
      </x:c>
      <x:c r="F57" s="41" t="str">
        <x:v>JI Hotel</x:v>
      </x:c>
      <x:c r="G57" s="41" t="str">
        <x:v>RETAIN</x:v>
      </x:c>
      <x:c r="H57" s="41" t="str">
        <x:v>PHYSICAL_AI</x:v>
      </x:c>
      <x:c r="I57" s="41" t="str">
        <x:v>Service robots</x:v>
      </x:c>
      <x:c r="J57" s="41" t="str">
        <x:v>KEEP_EXISTING_CANDIDATE</x:v>
      </x:c>
      <x:c r="K57" s="41" t="str">
        <x:v>MEDIUM-HIGH</x:v>
      </x:c>
      <x:c r="L57" s="41" t="str">
        <x:v>원본 목록의 Trip.com Service robots/robot delivery 명시 근거를 유지. 현행 표본 페이지 재점검으로 선정 규칙 타당성 확인.</x:v>
      </x:c>
      <x:c r="M57" s="41" t="str">
        <x:v>https://www.trip.com/hotels/wuhan-hotel-detail-122920490/ji-hotel/</x:v>
      </x:c>
      <x:c r="N57" s="41" t="str">
        <x:v>https://www.trip.com/hotels/wuhan-hotel-detail-122920490/ji-hotel/</x:v>
      </x:c>
      <x:c r="O57" s="42" t="str">
        <x:v>https://www.trip.com/hotels/wuhan-hotel-detail-122920490/ji-hotel/review.html</x:v>
      </x:c>
    </x:row>
    <x:row r="58">
      <x:c r="A58" s="29" t="n">
        <x:v>57</x:v>
      </x:c>
      <x:c r="B58" s="30" t="n">
        <x:v>66</x:v>
      </x:c>
      <x:c r="C58" s="30" t="str">
        <x:v>China</x:v>
      </x:c>
      <x:c r="D58" s="30" t="str">
        <x:v>Wuhan</x:v>
      </x:c>
      <x:c r="E58" s="41" t="str">
        <x:v>Atour Hotel (Wuhan Mulan Pishang Building)</x:v>
      </x:c>
      <x:c r="F58" s="41" t="str">
        <x:v>Atour Hotel</x:v>
      </x:c>
      <x:c r="G58" s="41" t="str">
        <x:v>RETAIN</x:v>
      </x:c>
      <x:c r="H58" s="41" t="str">
        <x:v>PHYSICAL_AI</x:v>
      </x:c>
      <x:c r="I58" s="41" t="str">
        <x:v>Service robots</x:v>
      </x:c>
      <x:c r="J58" s="41" t="str">
        <x:v>KEEP_EXISTING_CANDIDATE</x:v>
      </x:c>
      <x:c r="K58" s="41" t="str">
        <x:v>MEDIUM-HIGH</x:v>
      </x:c>
      <x:c r="L58" s="41" t="str">
        <x:v>원본 목록의 Trip.com Service robots/robot delivery 명시 근거를 유지. 현행 표본 페이지 재점검으로 선정 규칙 타당성 확인.</x:v>
      </x:c>
      <x:c r="M58" s="41" t="str">
        <x:v>https://www.trip.com/hotels/wuhan-hotel-detail-36475927/atour-hotel/</x:v>
      </x:c>
      <x:c r="N58" s="41" t="str">
        <x:v>https://www.trip.com/hotels/wuhan-hotel-detail-36475927/atour-hotel/</x:v>
      </x:c>
      <x:c r="O58" s="42" t="str">
        <x:v>https://www.trip.com/hotels/wuhan-hotel-detail-36475927/atour-hotel/review.html</x:v>
      </x:c>
    </x:row>
    <x:row r="59">
      <x:c r="A59" s="29" t="n">
        <x:v>58</x:v>
      </x:c>
      <x:c r="B59" s="30" t="n">
        <x:v>67</x:v>
      </x:c>
      <x:c r="C59" s="30" t="str">
        <x:v>China</x:v>
      </x:c>
      <x:c r="D59" s="30" t="str">
        <x:v>Nanjing</x:v>
      </x:c>
      <x:c r="E59" s="41" t="str">
        <x:v>JI Hotel (Nanjing Xinjiekou Presidential Palace)</x:v>
      </x:c>
      <x:c r="F59" s="41" t="str">
        <x:v>JI Hotel</x:v>
      </x:c>
      <x:c r="G59" s="41" t="str">
        <x:v>RETAIN</x:v>
      </x:c>
      <x:c r="H59" s="41" t="str">
        <x:v>PHYSICAL_AI</x:v>
      </x:c>
      <x:c r="I59" s="41" t="str">
        <x:v>Service robots</x:v>
      </x:c>
      <x:c r="J59" s="41" t="str">
        <x:v>KEEP_EXISTING_CANDIDATE</x:v>
      </x:c>
      <x:c r="K59" s="41" t="str">
        <x:v>MEDIUM-HIGH</x:v>
      </x:c>
      <x:c r="L59" s="41" t="str">
        <x:v>원본 목록의 Trip.com Service robots/robot delivery 명시 근거를 유지. 현행 표본 페이지 재점검으로 선정 규칙 타당성 확인.</x:v>
      </x:c>
      <x:c r="M59" s="41" t="str">
        <x:v>https://www.trip.com/hotels/nanjing-hotel-detail-15899490/ji-hotel/</x:v>
      </x:c>
      <x:c r="N59" s="41" t="str">
        <x:v>https://www.trip.com/hotels/nanjing-hotel-detail-15899490/ji-hotel/</x:v>
      </x:c>
      <x:c r="O59" s="42" t="str">
        <x:v>https://www.trip.com/hotels/nanjing-hotel-detail-15899490/ji-hotel/review.html</x:v>
      </x:c>
    </x:row>
    <x:row r="60">
      <x:c r="A60" s="29" t="n">
        <x:v>59</x:v>
      </x:c>
      <x:c r="B60" s="30" t="n">
        <x:v>68</x:v>
      </x:c>
      <x:c r="C60" s="30" t="str">
        <x:v>China</x:v>
      </x:c>
      <x:c r="D60" s="30" t="str">
        <x:v>Nanjing</x:v>
      </x:c>
      <x:c r="E60" s="41" t="str">
        <x:v>Orange Hotel (Nanjing Jinma Road)</x:v>
      </x:c>
      <x:c r="F60" s="41" t="str">
        <x:v>Orange Hotel</x:v>
      </x:c>
      <x:c r="G60" s="41" t="str">
        <x:v>RETAIN</x:v>
      </x:c>
      <x:c r="H60" s="41" t="str">
        <x:v>PHYSICAL_AI</x:v>
      </x:c>
      <x:c r="I60" s="41" t="str">
        <x:v>Service robots / intelligent robots</x:v>
      </x:c>
      <x:c r="J60" s="41" t="str">
        <x:v>KEEP_EXISTING_CANDIDATE</x:v>
      </x:c>
      <x:c r="K60" s="41" t="str">
        <x:v>MEDIUM-HIGH</x:v>
      </x:c>
      <x:c r="L60" s="41" t="str">
        <x:v>원본 목록의 Trip.com Service robots/robot delivery 명시 근거를 유지. 현행 표본 페이지 재점검으로 선정 규칙 타당성 확인.</x:v>
      </x:c>
      <x:c r="M60" s="41" t="str">
        <x:v>https://www.trip.com/hotels/nanjing-hotel-detail-127347191/orange-hotel/</x:v>
      </x:c>
      <x:c r="N60" s="41" t="str">
        <x:v>https://www.trip.com/hotels/nanjing-hotel-detail-127347191/orange-hotel/</x:v>
      </x:c>
      <x:c r="O60" s="42" t="str">
        <x:v>https://www.trip.com/hotels/nanjing-hotel-detail-127347191/orange-hotel/review.html</x:v>
      </x:c>
    </x:row>
    <x:row r="61">
      <x:c r="A61" s="29" t="n">
        <x:v>60</x:v>
      </x:c>
      <x:c r="B61" s="30" t="n">
        <x:v>69</x:v>
      </x:c>
      <x:c r="C61" s="30" t="str">
        <x:v>China</x:v>
      </x:c>
      <x:c r="D61" s="30" t="str">
        <x:v>Suzhou</x:v>
      </x:c>
      <x:c r="E61" s="41" t="str">
        <x:v>Orange Hotel (Suzhou Industrial Park Jinji Lake)</x:v>
      </x:c>
      <x:c r="F61" s="41" t="str">
        <x:v>Orange Hotel</x:v>
      </x:c>
      <x:c r="G61" s="41" t="str">
        <x:v>RETAIN</x:v>
      </x:c>
      <x:c r="H61" s="41" t="str">
        <x:v>PHYSICAL_AI</x:v>
      </x:c>
      <x:c r="I61" s="41" t="str">
        <x:v>Service robots</x:v>
      </x:c>
      <x:c r="J61" s="41" t="str">
        <x:v>KEEP_EXISTING_CANDIDATE</x:v>
      </x:c>
      <x:c r="K61" s="41" t="str">
        <x:v>MEDIUM-HIGH</x:v>
      </x:c>
      <x:c r="L61" s="41" t="str">
        <x:v>원본 목록의 Trip.com Service robots/robot delivery 명시 근거를 유지. 현행 표본 페이지 재점검으로 선정 규칙 타당성 확인.</x:v>
      </x:c>
      <x:c r="M61" s="41" t="str">
        <x:v>https://www.trip.com/hotels/suzhou-hotel-detail-133241376/orange-hotel/</x:v>
      </x:c>
      <x:c r="N61" s="41" t="str">
        <x:v>https://www.trip.com/hotels/suzhou-hotel-detail-133241376/orange-hotel/</x:v>
      </x:c>
      <x:c r="O61" s="42" t="str">
        <x:v>https://www.trip.com/hotels/suzhou-hotel-detail-133241376/orange-hotel/review.html</x:v>
      </x:c>
    </x:row>
    <x:row r="62">
      <x:c r="A62" s="29" t="n">
        <x:v>61</x:v>
      </x:c>
      <x:c r="B62" s="30" t="n">
        <x:v>70</x:v>
      </x:c>
      <x:c r="C62" s="30" t="str">
        <x:v>China</x:v>
      </x:c>
      <x:c r="D62" s="30" t="str">
        <x:v>Qingdao</x:v>
      </x:c>
      <x:c r="E62" s="41" t="str">
        <x:v>Orange Hotel (Qingdao Zhanqiao Railway Station Seaview)</x:v>
      </x:c>
      <x:c r="F62" s="41" t="str">
        <x:v>Orange Hotel</x:v>
      </x:c>
      <x:c r="G62" s="41" t="str">
        <x:v>RETAIN</x:v>
      </x:c>
      <x:c r="H62" s="41" t="str">
        <x:v>PHYSICAL_AI</x:v>
      </x:c>
      <x:c r="I62" s="41" t="str">
        <x:v>Food delivery robots / Service robots</x:v>
      </x:c>
      <x:c r="J62" s="41" t="str">
        <x:v>KEEP_EXISTING_CANDIDATE</x:v>
      </x:c>
      <x:c r="K62" s="41" t="str">
        <x:v>MEDIUM-HIGH</x:v>
      </x:c>
      <x:c r="L62" s="41" t="str">
        <x:v>원본 목록의 Trip.com Service robots/robot delivery 명시 근거를 유지. 현행 표본 페이지 재점검으로 선정 규칙 타당성 확인.</x:v>
      </x:c>
      <x:c r="M62" s="41" t="str">
        <x:v>https://www.trip.com/hotels/qingdao-hotel-detail-71960966/orange-hotel/</x:v>
      </x:c>
      <x:c r="N62" s="41" t="str">
        <x:v>https://www.trip.com/hotels/qingdao-hotel-detail-71960966/orange-hotel/</x:v>
      </x:c>
      <x:c r="O62" s="42" t="str">
        <x:v>https://www.trip.com/hotels/qingdao-hotel-detail-71960966/orange-hotel/review.html</x:v>
      </x:c>
    </x:row>
    <x:row r="63">
      <x:c r="A63" s="29" t="n">
        <x:v>62</x:v>
      </x:c>
      <x:c r="B63" s="30" t="n">
        <x:v>71</x:v>
      </x:c>
      <x:c r="C63" s="30" t="str">
        <x:v>China</x:v>
      </x:c>
      <x:c r="D63" s="30" t="str">
        <x:v>Wuhan</x:v>
      </x:c>
      <x:c r="E63" s="41" t="str">
        <x:v>Orange Hotel (Wuhan Optical Valley Science and Technology Exhibition Center)</x:v>
      </x:c>
      <x:c r="F63" s="41" t="str">
        <x:v>Orange Hotel</x:v>
      </x:c>
      <x:c r="G63" s="41" t="str">
        <x:v>RETAIN</x:v>
      </x:c>
      <x:c r="H63" s="41" t="str">
        <x:v>PHYSICAL_AI</x:v>
      </x:c>
      <x:c r="I63" s="41" t="str">
        <x:v>Service robots</x:v>
      </x:c>
      <x:c r="J63" s="41" t="str">
        <x:v>KEEP_EXISTING_CANDIDATE</x:v>
      </x:c>
      <x:c r="K63" s="41" t="str">
        <x:v>MEDIUM-HIGH</x:v>
      </x:c>
      <x:c r="L63" s="41" t="str">
        <x:v>원본 목록의 Trip.com Service robots/robot delivery 명시 근거를 유지. 현행 표본 페이지 재점검으로 선정 규칙 타당성 확인.</x:v>
      </x:c>
      <x:c r="M63" s="41" t="str">
        <x:v>https://www.trip.com/hotels/wuhan-hotel-detail-83111423/orange-hotel/</x:v>
      </x:c>
      <x:c r="N63" s="41" t="str">
        <x:v>https://www.trip.com/hotels/wuhan-hotel-detail-83111423/orange-hotel/</x:v>
      </x:c>
      <x:c r="O63" s="42" t="str">
        <x:v>https://www.trip.com/hotels/wuhan-hotel-detail-83111423/orange-hotel/review.html</x:v>
      </x:c>
    </x:row>
    <x:row r="64">
      <x:c r="A64" s="29" t="n">
        <x:v>63</x:v>
      </x:c>
      <x:c r="B64" s="30" t="n">
        <x:v>72</x:v>
      </x:c>
      <x:c r="C64" s="30" t="str">
        <x:v>China</x:v>
      </x:c>
      <x:c r="D64" s="30" t="str">
        <x:v>Nanjing</x:v>
      </x:c>
      <x:c r="E64" s="41" t="str">
        <x:v>Atour Hotel (Xianlin Avenue, Jinma Road)</x:v>
      </x:c>
      <x:c r="F64" s="41" t="str">
        <x:v>Atour Hotel</x:v>
      </x:c>
      <x:c r="G64" s="41" t="str">
        <x:v>RETAIN</x:v>
      </x:c>
      <x:c r="H64" s="41" t="str">
        <x:v>PHYSICAL_AI</x:v>
      </x:c>
      <x:c r="I64" s="41" t="str">
        <x:v>Service robots</x:v>
      </x:c>
      <x:c r="J64" s="41" t="str">
        <x:v>KEEP_EXISTING_CANDIDATE</x:v>
      </x:c>
      <x:c r="K64" s="41" t="str">
        <x:v>MEDIUM-HIGH</x:v>
      </x:c>
      <x:c r="L64" s="41" t="str">
        <x:v>원본 목록의 Trip.com Service robots/robot delivery 명시 근거를 유지. 현행 표본 페이지 재점검으로 선정 규칙 타당성 확인.</x:v>
      </x:c>
      <x:c r="M64" s="41" t="str">
        <x:v>https://www.trip.com/hotels/nanjing-hotel-detail-44554862/atour-hotel/</x:v>
      </x:c>
      <x:c r="N64" s="41" t="str">
        <x:v>https://www.trip.com/hotels/nanjing-hotel-detail-44554862/atour-hotel/</x:v>
      </x:c>
      <x:c r="O64" s="42" t="str">
        <x:v>https://www.trip.com/hotels/nanjing-hotel-detail-44554862/atour-hotel/review.html</x:v>
      </x:c>
    </x:row>
    <x:row r="65">
      <x:c r="A65" s="29" t="n">
        <x:v>64</x:v>
      </x:c>
      <x:c r="B65" s="30" t="n">
        <x:v>73</x:v>
      </x:c>
      <x:c r="C65" s="30" t="str">
        <x:v>China</x:v>
      </x:c>
      <x:c r="D65" s="30" t="str">
        <x:v>Nanjing</x:v>
      </x:c>
      <x:c r="E65" s="41" t="str">
        <x:v>JI Hotel (Nanjing Pukou Guoji Jiankangcheng)</x:v>
      </x:c>
      <x:c r="F65" s="41" t="str">
        <x:v>JI Hotel</x:v>
      </x:c>
      <x:c r="G65" s="41" t="str">
        <x:v>RETAIN</x:v>
      </x:c>
      <x:c r="H65" s="41" t="str">
        <x:v>PHYSICAL_AI</x:v>
      </x:c>
      <x:c r="I65" s="41" t="str">
        <x:v>Food delivery robots / Service robots</x:v>
      </x:c>
      <x:c r="J65" s="41" t="str">
        <x:v>KEEP_EXISTING_CANDIDATE</x:v>
      </x:c>
      <x:c r="K65" s="41" t="str">
        <x:v>MEDIUM-HIGH</x:v>
      </x:c>
      <x:c r="L65" s="41" t="str">
        <x:v>원본 목록의 Trip.com Service robots/robot delivery 명시 근거를 유지. 현행 표본 페이지 재점검으로 선정 규칙 타당성 확인.</x:v>
      </x:c>
      <x:c r="M65" s="41" t="str">
        <x:v>https://www.trip.com/hotels/nanjing-hotel-detail-109629499/ji-hotel/</x:v>
      </x:c>
      <x:c r="N65" s="41" t="str">
        <x:v>https://www.trip.com/hotels/nanjing-hotel-detail-109629499/ji-hotel/</x:v>
      </x:c>
      <x:c r="O65" s="42" t="str">
        <x:v>https://www.trip.com/hotels/nanjing-hotel-detail-109629499/ji-hotel/review.html</x:v>
      </x:c>
    </x:row>
    <x:row r="66">
      <x:c r="A66" s="29" t="n">
        <x:v>65</x:v>
      </x:c>
      <x:c r="B66" s="30" t="n">
        <x:v>74</x:v>
      </x:c>
      <x:c r="C66" s="30" t="str">
        <x:v>China</x:v>
      </x:c>
      <x:c r="D66" s="30" t="str">
        <x:v>Nanjing</x:v>
      </x:c>
      <x:c r="E66" s="41" t="str">
        <x:v>JI Hotel (Nanjing Xinjiekou Danfeng Street)</x:v>
      </x:c>
      <x:c r="F66" s="41" t="str">
        <x:v>JI Hotel</x:v>
      </x:c>
      <x:c r="G66" s="41" t="str">
        <x:v>RETAIN</x:v>
      </x:c>
      <x:c r="H66" s="41" t="str">
        <x:v>PHYSICAL_AI</x:v>
      </x:c>
      <x:c r="I66" s="41" t="str">
        <x:v>Service robots</x:v>
      </x:c>
      <x:c r="J66" s="41" t="str">
        <x:v>KEEP_EXISTING_CANDIDATE</x:v>
      </x:c>
      <x:c r="K66" s="41" t="str">
        <x:v>MEDIUM-HIGH</x:v>
      </x:c>
      <x:c r="L66" s="41" t="str">
        <x:v>원본 목록의 Trip.com Service robots/robot delivery 명시 근거를 유지. 현행 표본 페이지 재점검으로 선정 규칙 타당성 확인.</x:v>
      </x:c>
      <x:c r="M66" s="41" t="str">
        <x:v>https://www.trip.com/hotels/nanjing-hotel-detail-54537270/ji-hotel/</x:v>
      </x:c>
      <x:c r="N66" s="41" t="str">
        <x:v>https://www.trip.com/hotels/nanjing-hotel-detail-54537270/ji-hotel/</x:v>
      </x:c>
      <x:c r="O66" s="42" t="str">
        <x:v>https://www.trip.com/hotels/nanjing-hotel-detail-54537270/ji-hotel/review.html</x:v>
      </x:c>
    </x:row>
    <x:row r="67">
      <x:c r="A67" s="29" t="n">
        <x:v>66</x:v>
      </x:c>
      <x:c r="B67" s="30" t="n">
        <x:v>75</x:v>
      </x:c>
      <x:c r="C67" s="30" t="str">
        <x:v>China</x:v>
      </x:c>
      <x:c r="D67" s="30" t="str">
        <x:v>Qingdao</x:v>
      </x:c>
      <x:c r="E67" s="41" t="str">
        <x:v>Orange Hotel (Qingdao Shandong Road MixC)</x:v>
      </x:c>
      <x:c r="F67" s="41" t="str">
        <x:v>Orange Hotel</x:v>
      </x:c>
      <x:c r="G67" s="41" t="str">
        <x:v>RETAIN</x:v>
      </x:c>
      <x:c r="H67" s="41" t="str">
        <x:v>PHYSICAL_AI</x:v>
      </x:c>
      <x:c r="I67" s="41" t="str">
        <x:v>Food delivery robots / Service robots / AI experience</x:v>
      </x:c>
      <x:c r="J67" s="41" t="str">
        <x:v>KEEP_EXISTING_CANDIDATE</x:v>
      </x:c>
      <x:c r="K67" s="41" t="str">
        <x:v>MEDIUM-HIGH</x:v>
      </x:c>
      <x:c r="L67" s="41" t="str">
        <x:v>원본 목록의 Trip.com Service robots/robot delivery 명시 근거를 유지. 현행 표본 페이지 재점검으로 선정 규칙 타당성 확인.</x:v>
      </x:c>
      <x:c r="M67" s="41" t="str">
        <x:v>https://www.trip.com/hotels/qingdao-hotel-detail-118994073/orange-hotel/</x:v>
      </x:c>
      <x:c r="N67" s="41" t="str">
        <x:v>https://www.trip.com/hotels/qingdao-hotel-detail-118994073/orange-hotel/</x:v>
      </x:c>
      <x:c r="O67" s="42" t="str">
        <x:v>https://www.trip.com/hotels/qingdao-hotel-detail-118994073/orange-hotel/review.html</x:v>
      </x:c>
    </x:row>
    <x:row r="68">
      <x:c r="A68" s="29" t="n">
        <x:v>67</x:v>
      </x:c>
      <x:c r="B68" s="30" t="n">
        <x:v>76</x:v>
      </x:c>
      <x:c r="C68" s="30" t="str">
        <x:v>China</x:v>
      </x:c>
      <x:c r="D68" s="30" t="str">
        <x:v>Suzhou</x:v>
      </x:c>
      <x:c r="E68" s="41" t="str">
        <x:v>Orange Hotel (Suzhou High-speed Railway North Station Cailianli Plaza)</x:v>
      </x:c>
      <x:c r="F68" s="41" t="str">
        <x:v>Orange Hotel</x:v>
      </x:c>
      <x:c r="G68" s="41" t="str">
        <x:v>RETAIN</x:v>
      </x:c>
      <x:c r="H68" s="41" t="str">
        <x:v>PHYSICAL_AI</x:v>
      </x:c>
      <x:c r="I68" s="41" t="str">
        <x:v>Service robots</x:v>
      </x:c>
      <x:c r="J68" s="41" t="str">
        <x:v>KEEP_EXISTING_CANDIDATE</x:v>
      </x:c>
      <x:c r="K68" s="41" t="str">
        <x:v>MEDIUM-HIGH</x:v>
      </x:c>
      <x:c r="L68" s="41" t="str">
        <x:v>원본 목록의 Trip.com Service robots/robot delivery 명시 근거를 유지. 현행 표본 페이지 재점검으로 선정 규칙 타당성 확인.</x:v>
      </x:c>
      <x:c r="M68" s="41" t="str">
        <x:v>https://www.trip.com/hotels/suzhou-hotel-detail-42315092/orange-hotel/</x:v>
      </x:c>
      <x:c r="N68" s="41" t="str">
        <x:v>https://www.trip.com/hotels/suzhou-hotel-detail-42315092/orange-hotel/</x:v>
      </x:c>
      <x:c r="O68" s="42" t="str">
        <x:v>https://www.trip.com/hotels/suzhou-hotel-detail-42315092/orange-hotel/review.html</x:v>
      </x:c>
    </x:row>
    <x:row r="69">
      <x:c r="A69" s="29" t="n">
        <x:v>68</x:v>
      </x:c>
      <x:c r="B69" s="30" t="n">
        <x:v>77</x:v>
      </x:c>
      <x:c r="C69" s="30" t="str">
        <x:v>China</x:v>
      </x:c>
      <x:c r="D69" s="30" t="str">
        <x:v>Suzhou</x:v>
      </x:c>
      <x:c r="E69" s="41" t="str">
        <x:v>Orange Hotel (Suzhou Wuzhong Wanda Plaza Branch)</x:v>
      </x:c>
      <x:c r="F69" s="41" t="str">
        <x:v>Orange Hotel</x:v>
      </x:c>
      <x:c r="G69" s="41" t="str">
        <x:v>RETAIN</x:v>
      </x:c>
      <x:c r="H69" s="41" t="str">
        <x:v>PHYSICAL_AI</x:v>
      </x:c>
      <x:c r="I69" s="41" t="str">
        <x:v>Service robots</x:v>
      </x:c>
      <x:c r="J69" s="41" t="str">
        <x:v>KEEP_EXISTING_CANDIDATE</x:v>
      </x:c>
      <x:c r="K69" s="41" t="str">
        <x:v>MEDIUM-HIGH</x:v>
      </x:c>
      <x:c r="L69" s="41" t="str">
        <x:v>원본 목록의 Trip.com Service robots/robot delivery 명시 근거를 유지. 현행 표본 페이지 재점검으로 선정 규칙 타당성 확인.</x:v>
      </x:c>
      <x:c r="M69" s="41" t="str">
        <x:v>https://www.trip.com/hotels/suzhou-hotel-detail-124181279/orange-hotel/</x:v>
      </x:c>
      <x:c r="N69" s="41" t="str">
        <x:v>https://www.trip.com/hotels/suzhou-hotel-detail-124181279/orange-hotel/</x:v>
      </x:c>
      <x:c r="O69" s="42" t="str">
        <x:v>https://www.trip.com/hotels/suzhou-hotel-detail-124181279/orange-hotel/review.html</x:v>
      </x:c>
    </x:row>
    <x:row r="70">
      <x:c r="A70" s="29" t="n">
        <x:v>69</x:v>
      </x:c>
      <x:c r="B70" s="30" t="n">
        <x:v>78</x:v>
      </x:c>
      <x:c r="C70" s="30" t="str">
        <x:v>China</x:v>
      </x:c>
      <x:c r="D70" s="30" t="str">
        <x:v>Qingdao</x:v>
      </x:c>
      <x:c r="E70" s="41" t="str">
        <x:v>JI Hotel (Qingdao Taidong Pedestrian Street)</x:v>
      </x:c>
      <x:c r="F70" s="41" t="str">
        <x:v>JI Hotel</x:v>
      </x:c>
      <x:c r="G70" s="41" t="str">
        <x:v>RETAIN</x:v>
      </x:c>
      <x:c r="H70" s="41" t="str">
        <x:v>PHYSICAL_AI</x:v>
      </x:c>
      <x:c r="I70" s="41" t="str">
        <x:v>Service robots</x:v>
      </x:c>
      <x:c r="J70" s="41" t="str">
        <x:v>KEEP_EXISTING_CANDIDATE</x:v>
      </x:c>
      <x:c r="K70" s="41" t="str">
        <x:v>MEDIUM-HIGH</x:v>
      </x:c>
      <x:c r="L70" s="41" t="str">
        <x:v>원본 목록의 Trip.com Service robots/robot delivery 명시 근거를 유지. 현행 표본 페이지 재점검으로 선정 규칙 타당성 확인.</x:v>
      </x:c>
      <x:c r="M70" s="41" t="str">
        <x:v>https://www.trip.com/hotels/qingdao-hotel-detail-134344432/ji-hotel/</x:v>
      </x:c>
      <x:c r="N70" s="41" t="str">
        <x:v>https://www.trip.com/hotels/qingdao-hotel-detail-134344432/ji-hotel/</x:v>
      </x:c>
      <x:c r="O70" s="42" t="str">
        <x:v>https://www.trip.com/hotels/qingdao-hotel-detail-134344432/ji-hotel/review.html</x:v>
      </x:c>
    </x:row>
    <x:row r="71">
      <x:c r="A71" s="29" t="n">
        <x:v>70</x:v>
      </x:c>
      <x:c r="B71" s="30" t="n">
        <x:v>79</x:v>
      </x:c>
      <x:c r="C71" s="30" t="str">
        <x:v>China</x:v>
      </x:c>
      <x:c r="D71" s="30" t="str">
        <x:v>Tianjin</x:v>
      </x:c>
      <x:c r="E71" s="41" t="str">
        <x:v>Atour Hotel (Tianjin Xiaobailou/Five Avenues)</x:v>
      </x:c>
      <x:c r="F71" s="41" t="str">
        <x:v>Atour Hotel</x:v>
      </x:c>
      <x:c r="G71" s="41" t="str">
        <x:v>RETAIN</x:v>
      </x:c>
      <x:c r="H71" s="41" t="str">
        <x:v>PHYSICAL_AI</x:v>
      </x:c>
      <x:c r="I71" s="41" t="str">
        <x:v>Service robots</x:v>
      </x:c>
      <x:c r="J71" s="41" t="str">
        <x:v>KEEP_EXISTING_CANDIDATE</x:v>
      </x:c>
      <x:c r="K71" s="41" t="str">
        <x:v>MEDIUM-HIGH</x:v>
      </x:c>
      <x:c r="L71" s="41" t="str">
        <x:v>원본 목록의 Trip.com Service robots/robot delivery 명시 근거를 유지. 현행 표본 페이지 재점검으로 선정 규칙 타당성 확인.</x:v>
      </x:c>
      <x:c r="M71" s="41" t="str">
        <x:v>https://www.trip.com/hotels/tianjin-hotel-detail-3289985/atour-hotel/</x:v>
      </x:c>
      <x:c r="N71" s="41" t="str">
        <x:v>https://www.trip.com/hotels/tianjin-hotel-detail-3289985/atour-hotel/</x:v>
      </x:c>
      <x:c r="O71" s="42" t="str">
        <x:v>https://www.trip.com/hotels/tianjin-hotel-detail-3289985/atour-hotel/review.html</x:v>
      </x:c>
    </x:row>
    <x:row r="72">
      <x:c r="A72" s="29" t="n">
        <x:v>71</x:v>
      </x:c>
      <x:c r="B72" s="30" t="n">
        <x:v>80</x:v>
      </x:c>
      <x:c r="C72" s="30" t="str">
        <x:v>China</x:v>
      </x:c>
      <x:c r="D72" s="30" t="str">
        <x:v>Tianjin</x:v>
      </x:c>
      <x:c r="E72" s="41" t="str">
        <x:v>Orange Hotel (Tianjin Haiguang Temple)</x:v>
      </x:c>
      <x:c r="F72" s="41" t="str">
        <x:v>Orange Hotel</x:v>
      </x:c>
      <x:c r="G72" s="41" t="str">
        <x:v>RETAIN</x:v>
      </x:c>
      <x:c r="H72" s="41" t="str">
        <x:v>PHYSICAL_AI</x:v>
      </x:c>
      <x:c r="I72" s="41" t="str">
        <x:v>Service robots</x:v>
      </x:c>
      <x:c r="J72" s="41" t="str">
        <x:v>KEEP_EXISTING_CANDIDATE</x:v>
      </x:c>
      <x:c r="K72" s="41" t="str">
        <x:v>MEDIUM-HIGH</x:v>
      </x:c>
      <x:c r="L72" s="41" t="str">
        <x:v>원본 목록의 Trip.com Service robots/robot delivery 명시 근거를 유지. 현행 표본 페이지 재점검으로 선정 규칙 타당성 확인.</x:v>
      </x:c>
      <x:c r="M72" s="41" t="str">
        <x:v>https://www.trip.com/hotels/tianjin-hotel-detail-79093652/orange-hotel/</x:v>
      </x:c>
      <x:c r="N72" s="41" t="str">
        <x:v>https://www.trip.com/hotels/tianjin-hotel-detail-79093652/orange-hotel/</x:v>
      </x:c>
      <x:c r="O72" s="42" t="str">
        <x:v>https://www.trip.com/hotels/tianjin-hotel-detail-79093652/orange-hotel/review.html</x:v>
      </x:c>
    </x:row>
    <x:row r="73">
      <x:c r="A73" s="29" t="n">
        <x:v>72</x:v>
      </x:c>
      <x:c r="B73" s="30" t="n">
        <x:v>81</x:v>
      </x:c>
      <x:c r="C73" s="30" t="str">
        <x:v>China</x:v>
      </x:c>
      <x:c r="D73" s="30" t="str">
        <x:v>Tianjin</x:v>
      </x:c>
      <x:c r="E73" s="41" t="str">
        <x:v>JI Hotel (Tianjin Zhongbei Xincheng City Center)</x:v>
      </x:c>
      <x:c r="F73" s="41" t="str">
        <x:v>JI Hotel</x:v>
      </x:c>
      <x:c r="G73" s="41" t="str">
        <x:v>RETAIN</x:v>
      </x:c>
      <x:c r="H73" s="41" t="str">
        <x:v>PHYSICAL_AI</x:v>
      </x:c>
      <x:c r="I73" s="41" t="str">
        <x:v>Service robots / intelligent delivery robots</x:v>
      </x:c>
      <x:c r="J73" s="41" t="str">
        <x:v>KEEP_EXISTING_CANDIDATE</x:v>
      </x:c>
      <x:c r="K73" s="41" t="str">
        <x:v>MEDIUM-HIGH</x:v>
      </x:c>
      <x:c r="L73" s="41" t="str">
        <x:v>원본 목록의 Trip.com Service robots/robot delivery 명시 근거를 유지. 현행 표본 페이지 재점검으로 선정 규칙 타당성 확인.</x:v>
      </x:c>
      <x:c r="M73" s="41" t="str">
        <x:v>https://www.trip.com/hotels/tianjin-hotel-detail-91597881/ji-hotel/</x:v>
      </x:c>
      <x:c r="N73" s="41" t="str">
        <x:v>https://www.trip.com/hotels/tianjin-hotel-detail-91597881/ji-hotel/</x:v>
      </x:c>
      <x:c r="O73" s="42" t="str">
        <x:v>https://www.trip.com/hotels/tianjin-hotel-detail-91597881/ji-hotel/review.html</x:v>
      </x:c>
    </x:row>
    <x:row r="74">
      <x:c r="A74" s="29" t="n">
        <x:v>73</x:v>
      </x:c>
      <x:c r="B74" s="30" t="n">
        <x:v>82</x:v>
      </x:c>
      <x:c r="C74" s="30" t="str">
        <x:v>China</x:v>
      </x:c>
      <x:c r="D74" s="30" t="str">
        <x:v>Hefei</x:v>
      </x:c>
      <x:c r="E74" s="41" t="str">
        <x:v>Atour Hotel (Hefei Huaihe Road Pedestrian Street)</x:v>
      </x:c>
      <x:c r="F74" s="41" t="str">
        <x:v>Atour Hotel</x:v>
      </x:c>
      <x:c r="G74" s="41" t="str">
        <x:v>RETAIN</x:v>
      </x:c>
      <x:c r="H74" s="41" t="str">
        <x:v>PHYSICAL_AI</x:v>
      </x:c>
      <x:c r="I74" s="41" t="str">
        <x:v>Service robots</x:v>
      </x:c>
      <x:c r="J74" s="41" t="str">
        <x:v>KEEP_EXISTING_CANDIDATE</x:v>
      </x:c>
      <x:c r="K74" s="41" t="str">
        <x:v>MEDIUM-HIGH</x:v>
      </x:c>
      <x:c r="L74" s="41" t="str">
        <x:v>원본 목록의 Trip.com Service robots/robot delivery 명시 근거를 유지. 현행 표본 페이지 재점검으로 선정 규칙 타당성 확인.</x:v>
      </x:c>
      <x:c r="M74" s="41" t="str">
        <x:v>https://www.trip.com/hotels/hefei-hotel-detail-54628056/atour-hotel/</x:v>
      </x:c>
      <x:c r="N74" s="41" t="str">
        <x:v>https://www.trip.com/hotels/hefei-hotel-detail-54628056/atour-hotel/</x:v>
      </x:c>
      <x:c r="O74" s="42" t="str">
        <x:v>https://www.trip.com/hotels/hefei-hotel-detail-54628056/atour-hotel/review.html</x:v>
      </x:c>
    </x:row>
    <x:row r="75">
      <x:c r="A75" s="29" t="n">
        <x:v>74</x:v>
      </x:c>
      <x:c r="B75" s="30" t="n">
        <x:v>83</x:v>
      </x:c>
      <x:c r="C75" s="30" t="str">
        <x:v>China</x:v>
      </x:c>
      <x:c r="D75" s="30" t="str">
        <x:v>Changsha</x:v>
      </x:c>
      <x:c r="E75" s="41" t="str">
        <x:v>JI Hotel (Changsha Hunan Jinrong Zhongxin)</x:v>
      </x:c>
      <x:c r="F75" s="41" t="str">
        <x:v>JI Hotel</x:v>
      </x:c>
      <x:c r="G75" s="41" t="str">
        <x:v>RETAIN</x:v>
      </x:c>
      <x:c r="H75" s="41" t="str">
        <x:v>PHYSICAL_AI</x:v>
      </x:c>
      <x:c r="I75" s="41" t="str">
        <x:v>Food delivery robots / Service robots</x:v>
      </x:c>
      <x:c r="J75" s="41" t="str">
        <x:v>KEEP_EXISTING_CANDIDATE</x:v>
      </x:c>
      <x:c r="K75" s="41" t="str">
        <x:v>MEDIUM-HIGH</x:v>
      </x:c>
      <x:c r="L75" s="41" t="str">
        <x:v>원본 목록의 Trip.com Service robots/robot delivery 명시 근거를 유지. 현행 표본 페이지 재점검으로 선정 규칙 타당성 확인.</x:v>
      </x:c>
      <x:c r="M75" s="41" t="str">
        <x:v>https://www.trip.com/hotels/changsha-hotel-detail-86230767/ji-hotel/</x:v>
      </x:c>
      <x:c r="N75" s="41" t="str">
        <x:v>https://www.trip.com/hotels/changsha-hotel-detail-86230767/ji-hotel/</x:v>
      </x:c>
      <x:c r="O75" s="42" t="str">
        <x:v>https://www.trip.com/hotels/changsha-hotel-detail-86230767/ji-hotel/review.html</x:v>
      </x:c>
    </x:row>
    <x:row r="76">
      <x:c r="A76" s="29" t="n">
        <x:v>75</x:v>
      </x:c>
      <x:c r="B76" s="30" t="n">
        <x:v>84</x:v>
      </x:c>
      <x:c r="C76" s="30" t="str">
        <x:v>China</x:v>
      </x:c>
      <x:c r="D76" s="30" t="str">
        <x:v>Zhengzhou</x:v>
      </x:c>
      <x:c r="E76" s="41" t="str">
        <x:v>Atour Hotel (Zhengzhou East Railway Station area)</x:v>
      </x:c>
      <x:c r="F76" s="41" t="str">
        <x:v>Atour Hotel</x:v>
      </x:c>
      <x:c r="G76" s="41" t="str">
        <x:v>RETAIN</x:v>
      </x:c>
      <x:c r="H76" s="41" t="str">
        <x:v>PHYSICAL_AI</x:v>
      </x:c>
      <x:c r="I76" s="41" t="str">
        <x:v>Service robots</x:v>
      </x:c>
      <x:c r="J76" s="41" t="str">
        <x:v>KEEP_EXISTING_CANDIDATE</x:v>
      </x:c>
      <x:c r="K76" s="41" t="str">
        <x:v>MEDIUM-HIGH</x:v>
      </x:c>
      <x:c r="L76" s="41" t="str">
        <x:v>원본 목록의 Trip.com Service robots/robot delivery 명시 근거를 유지. 현행 표본 페이지 재점검으로 선정 규칙 타당성 확인.</x:v>
      </x:c>
      <x:c r="M76" s="41" t="str">
        <x:v>https://www.trip.com/hotels/zhengzhou-hotel-detail-133532769/atour-hotel/</x:v>
      </x:c>
      <x:c r="N76" s="41" t="str">
        <x:v>https://www.trip.com/hotels/zhengzhou-hotel-detail-133532769/atour-hotel/</x:v>
      </x:c>
      <x:c r="O76" s="42" t="str">
        <x:v>https://www.trip.com/hotels/zhengzhou-hotel-detail-133532769/atour-hotel/review.html</x:v>
      </x:c>
    </x:row>
    <x:row r="77">
      <x:c r="A77" s="29" t="n">
        <x:v>76</x:v>
      </x:c>
      <x:c r="B77" s="30" t="n">
        <x:v>85</x:v>
      </x:c>
      <x:c r="C77" s="30" t="str">
        <x:v>China</x:v>
      </x:c>
      <x:c r="D77" s="30" t="str">
        <x:v>Changsha</x:v>
      </x:c>
      <x:c r="E77" s="41" t="str">
        <x:v>JI Hotel (Changsha Wuyi Square Huangtuling Subway Station)</x:v>
      </x:c>
      <x:c r="F77" s="41" t="str">
        <x:v>JI Hotel</x:v>
      </x:c>
      <x:c r="G77" s="41" t="str">
        <x:v>RETAIN</x:v>
      </x:c>
      <x:c r="H77" s="41" t="str">
        <x:v>PHYSICAL_AI</x:v>
      </x:c>
      <x:c r="I77" s="41" t="str">
        <x:v>Service robots / robot delivery / self check-in</x:v>
      </x:c>
      <x:c r="J77" s="41" t="str">
        <x:v>KEEP_EXISTING_CANDIDATE</x:v>
      </x:c>
      <x:c r="K77" s="41" t="str">
        <x:v>MEDIUM-HIGH</x:v>
      </x:c>
      <x:c r="L77" s="41" t="str">
        <x:v>원본 목록의 Trip.com Service robots/robot delivery 명시 근거를 유지. 현행 표본 페이지 재점검으로 선정 규칙 타당성 확인.</x:v>
      </x:c>
      <x:c r="M77" s="41" t="str">
        <x:v>https://www.trip.com/hotels/changsha-hotel-detail-125337606/ji-hotel/</x:v>
      </x:c>
      <x:c r="N77" s="41" t="str">
        <x:v>https://www.trip.com/hotels/changsha-hotel-detail-125337606/ji-hotel/</x:v>
      </x:c>
      <x:c r="O77" s="42" t="str">
        <x:v>https://www.trip.com/hotels/changsha-hotel-detail-125337606/ji-hotel/review.html</x:v>
      </x:c>
    </x:row>
    <x:row r="78">
      <x:c r="A78" s="29" t="n">
        <x:v>77</x:v>
      </x:c>
      <x:c r="B78" s="30" t="n">
        <x:v>86</x:v>
      </x:c>
      <x:c r="C78" s="30" t="str">
        <x:v>China</x:v>
      </x:c>
      <x:c r="D78" s="30" t="str">
        <x:v>Zhengzhou</x:v>
      </x:c>
      <x:c r="E78" s="41" t="str">
        <x:v>Atour Hotel (Eighth Street, Zhengzhou East Railway Station)</x:v>
      </x:c>
      <x:c r="F78" s="41" t="str">
        <x:v>Atour Hotel</x:v>
      </x:c>
      <x:c r="G78" s="41" t="str">
        <x:v>RETAIN</x:v>
      </x:c>
      <x:c r="H78" s="41" t="str">
        <x:v>PHYSICAL_AI</x:v>
      </x:c>
      <x:c r="I78" s="41" t="str">
        <x:v>Service robots</x:v>
      </x:c>
      <x:c r="J78" s="41" t="str">
        <x:v>KEEP_EXISTING_CANDIDATE</x:v>
      </x:c>
      <x:c r="K78" s="41" t="str">
        <x:v>MEDIUM-HIGH</x:v>
      </x:c>
      <x:c r="L78" s="41" t="str">
        <x:v>원본 목록의 Trip.com Service robots/robot delivery 명시 근거를 유지. 현행 표본 페이지 재점검으로 선정 규칙 타당성 확인.</x:v>
      </x:c>
      <x:c r="M78" s="41" t="str">
        <x:v>https://www.trip.com/hotels/zhengzhou-hotel-detail-54976341/atour-hotel/</x:v>
      </x:c>
      <x:c r="N78" s="41" t="str">
        <x:v>https://www.trip.com/hotels/zhengzhou-hotel-detail-54976341/atour-hotel/</x:v>
      </x:c>
      <x:c r="O78" s="42" t="str">
        <x:v>https://www.trip.com/hotels/zhengzhou-hotel-detail-54976341/atour-hotel/review.html</x:v>
      </x:c>
    </x:row>
    <x:row r="79">
      <x:c r="A79" s="29" t="n">
        <x:v>78</x:v>
      </x:c>
      <x:c r="B79" s="30" t="n">
        <x:v>87</x:v>
      </x:c>
      <x:c r="C79" s="30" t="str">
        <x:v>China</x:v>
      </x:c>
      <x:c r="D79" s="30" t="str">
        <x:v>Changsha</x:v>
      </x:c>
      <x:c r="E79" s="41" t="str">
        <x:v>Orange Hotel (Changsha IFC)</x:v>
      </x:c>
      <x:c r="F79" s="41" t="str">
        <x:v>Orange Hotel</x:v>
      </x:c>
      <x:c r="G79" s="41" t="str">
        <x:v>RETAIN</x:v>
      </x:c>
      <x:c r="H79" s="41" t="str">
        <x:v>PHYSICAL_AI</x:v>
      </x:c>
      <x:c r="I79" s="41" t="str">
        <x:v>Service robots / robot delivery / self check-in</x:v>
      </x:c>
      <x:c r="J79" s="41" t="str">
        <x:v>KEEP_EXISTING_CANDIDATE</x:v>
      </x:c>
      <x:c r="K79" s="41" t="str">
        <x:v>MEDIUM-HIGH</x:v>
      </x:c>
      <x:c r="L79" s="41" t="str">
        <x:v>원본 목록의 Trip.com Service robots/robot delivery 명시 근거를 유지. 현행 표본 페이지 재점검으로 선정 규칙 타당성 확인.</x:v>
      </x:c>
      <x:c r="M79" s="41" t="str">
        <x:v>https://www.trip.com/hotels/changsha-hotel-detail-1225357/orange-hotel-select-changsha-huangxing-road-pedestrian-mall/</x:v>
      </x:c>
      <x:c r="N79" s="41" t="str">
        <x:v>https://www.trip.com/hotels/changsha-hotel-detail-1225357/orange-hotel-select-changsha-huangxing-road-pedestrian-mall/</x:v>
      </x:c>
      <x:c r="O79" s="42" t="str">
        <x:v>https://www.trip.com/hotels/changsha-hotel-detail-1225357/orange-hotel-select-changsha-huangxing-road-pedestrian-mall/review.html</x:v>
      </x:c>
    </x:row>
    <x:row r="80">
      <x:c r="A80" s="29" t="n">
        <x:v>79</x:v>
      </x:c>
      <x:c r="B80" s="30" t="n">
        <x:v>88</x:v>
      </x:c>
      <x:c r="C80" s="30" t="str">
        <x:v>China</x:v>
      </x:c>
      <x:c r="D80" s="30" t="str">
        <x:v>Hefei</x:v>
      </x:c>
      <x:c r="E80" s="41" t="str">
        <x:v>JI Hotel (Hefei Anhui Medical University)</x:v>
      </x:c>
      <x:c r="F80" s="41" t="str">
        <x:v>JI Hotel</x:v>
      </x:c>
      <x:c r="G80" s="41" t="str">
        <x:v>RETAIN</x:v>
      </x:c>
      <x:c r="H80" s="41" t="str">
        <x:v>PHYSICAL_AI</x:v>
      </x:c>
      <x:c r="I80" s="41" t="str">
        <x:v>Service robots</x:v>
      </x:c>
      <x:c r="J80" s="41" t="str">
        <x:v>KEEP_EXISTING_CANDIDATE</x:v>
      </x:c>
      <x:c r="K80" s="41" t="str">
        <x:v>MEDIUM-HIGH</x:v>
      </x:c>
      <x:c r="L80" s="41" t="str">
        <x:v>원본 목록의 Trip.com Service robots/robot delivery 명시 근거를 유지. 현행 표본 페이지 재점검으로 선정 규칙 타당성 확인.</x:v>
      </x:c>
      <x:c r="M80" s="41" t="str">
        <x:v>https://www.trip.com/hotels/hefei-hotel-detail-7085664/ji-hotel/</x:v>
      </x:c>
      <x:c r="N80" s="41" t="str">
        <x:v>https://www.trip.com/hotels/hefei-hotel-detail-7085664/ji-hotel/</x:v>
      </x:c>
      <x:c r="O80" s="42" t="str">
        <x:v>https://www.trip.com/hotels/hefei-hotel-detail-7085664/ji-hotel/review.html</x:v>
      </x:c>
    </x:row>
    <x:row r="81">
      <x:c r="A81" s="29" t="n">
        <x:v>80</x:v>
      </x:c>
      <x:c r="B81" s="30" t="n">
        <x:v>89</x:v>
      </x:c>
      <x:c r="C81" s="30" t="str">
        <x:v>China</x:v>
      </x:c>
      <x:c r="D81" s="30" t="str">
        <x:v>Jinan</x:v>
      </x:c>
      <x:c r="E81" s="41" t="str">
        <x:v>Orange Hotel (Jinan CBD China Resources Land Plaza)</x:v>
      </x:c>
      <x:c r="F81" s="41" t="str">
        <x:v>Orange Hotel</x:v>
      </x:c>
      <x:c r="G81" s="41" t="str">
        <x:v>RETAIN</x:v>
      </x:c>
      <x:c r="H81" s="41" t="str">
        <x:v>PHYSICAL_AI</x:v>
      </x:c>
      <x:c r="I81" s="41" t="str">
        <x:v>Service robots</x:v>
      </x:c>
      <x:c r="J81" s="41" t="str">
        <x:v>KEEP_EXISTING_CANDIDATE</x:v>
      </x:c>
      <x:c r="K81" s="41" t="str">
        <x:v>MEDIUM-HIGH</x:v>
      </x:c>
      <x:c r="L81" s="41" t="str">
        <x:v>원본 목록의 Trip.com Service robots/robot delivery 명시 근거를 유지. 현행 표본 페이지 재점검으로 선정 규칙 타당성 확인.</x:v>
      </x:c>
      <x:c r="M81" s="41" t="str">
        <x:v>https://www.trip.com/hotels/jinan-hotel-detail-112492162/orange-hotel/</x:v>
      </x:c>
      <x:c r="N81" s="41" t="str">
        <x:v>https://www.trip.com/hotels/jinan-hotel-detail-112492162/orange-hotel/</x:v>
      </x:c>
      <x:c r="O81" s="42" t="str">
        <x:v>https://www.trip.com/hotels/jinan-hotel-detail-112492162/orange-hotel/review.html</x:v>
      </x:c>
    </x:row>
    <x:row r="82">
      <x:c r="A82" s="29" t="n">
        <x:v>81</x:v>
      </x:c>
      <x:c r="B82" s="30" t="n">
        <x:v>90</x:v>
      </x:c>
      <x:c r="C82" s="30" t="str">
        <x:v>China</x:v>
      </x:c>
      <x:c r="D82" s="30" t="str">
        <x:v>Changsha</x:v>
      </x:c>
      <x:c r="E82" s="41" t="str">
        <x:v>Atour Hotel (Academy of Agricultural Sciences Furong District Changsha)</x:v>
      </x:c>
      <x:c r="F82" s="41" t="str">
        <x:v>Atour Hotel</x:v>
      </x:c>
      <x:c r="G82" s="41" t="str">
        <x:v>RETAIN</x:v>
      </x:c>
      <x:c r="H82" s="41" t="str">
        <x:v>PHYSICAL_AI</x:v>
      </x:c>
      <x:c r="I82" s="41" t="str">
        <x:v>Service robots</x:v>
      </x:c>
      <x:c r="J82" s="41" t="str">
        <x:v>KEEP_EXISTING_CANDIDATE</x:v>
      </x:c>
      <x:c r="K82" s="41" t="str">
        <x:v>MEDIUM-HIGH</x:v>
      </x:c>
      <x:c r="L82" s="41" t="str">
        <x:v>원본 목록의 Trip.com Service robots/robot delivery 명시 근거를 유지. 현행 표본 페이지 재점검으로 선정 규칙 타당성 확인.</x:v>
      </x:c>
      <x:c r="M82" s="41" t="str">
        <x:v>https://www.trip.com/hotels/changsha-hotel-detail-45940958/atour-hotel/</x:v>
      </x:c>
      <x:c r="N82" s="41" t="str">
        <x:v>https://www.trip.com/hotels/changsha-hotel-detail-45940958/atour-hotel/</x:v>
      </x:c>
      <x:c r="O82" s="42" t="str">
        <x:v>https://www.trip.com/hotels/changsha-hotel-detail-45940958/atour-hotel/review.html</x:v>
      </x:c>
    </x:row>
    <x:row r="83">
      <x:c r="A83" s="29" t="n">
        <x:v>82</x:v>
      </x:c>
      <x:c r="B83" s="30" t="n">
        <x:v>91</x:v>
      </x:c>
      <x:c r="C83" s="30" t="str">
        <x:v>China</x:v>
      </x:c>
      <x:c r="D83" s="30" t="str">
        <x:v>Zhengzhou</x:v>
      </x:c>
      <x:c r="E83" s="41" t="str">
        <x:v>Atour Hotel (Zhengzhou East Railway Station West Square)</x:v>
      </x:c>
      <x:c r="F83" s="41" t="str">
        <x:v>Atour Hotel</x:v>
      </x:c>
      <x:c r="G83" s="41" t="str">
        <x:v>RETAIN</x:v>
      </x:c>
      <x:c r="H83" s="41" t="str">
        <x:v>PHYSICAL_AI</x:v>
      </x:c>
      <x:c r="I83" s="41" t="str">
        <x:v>Service robots</x:v>
      </x:c>
      <x:c r="J83" s="41" t="str">
        <x:v>KEEP_EXISTING_CANDIDATE</x:v>
      </x:c>
      <x:c r="K83" s="41" t="str">
        <x:v>MEDIUM-HIGH</x:v>
      </x:c>
      <x:c r="L83" s="41" t="str">
        <x:v>원본 목록의 Trip.com Service robots/robot delivery 명시 근거를 유지. 현행 표본 페이지 재점검으로 선정 규칙 타당성 확인.</x:v>
      </x:c>
      <x:c r="M83" s="41" t="str">
        <x:v>https://www.trip.com/hotels/zhengzhou-hotel-detail-133800861/atour-hotel/</x:v>
      </x:c>
      <x:c r="N83" s="41" t="str">
        <x:v>https://www.trip.com/hotels/zhengzhou-hotel-detail-133800861/atour-hotel/</x:v>
      </x:c>
      <x:c r="O83" s="42" t="str">
        <x:v>https://www.trip.com/hotels/zhengzhou-hotel-detail-133800861/atour-hotel/review.html</x:v>
      </x:c>
    </x:row>
    <x:row r="84">
      <x:c r="A84" s="29" t="n">
        <x:v>83</x:v>
      </x:c>
      <x:c r="B84" s="30" t="n">
        <x:v>92</x:v>
      </x:c>
      <x:c r="C84" s="30" t="str">
        <x:v>China</x:v>
      </x:c>
      <x:c r="D84" s="30" t="str">
        <x:v>Hefei</x:v>
      </x:c>
      <x:c r="E84" s="41" t="str">
        <x:v>Orange Hotel (Hefei South Railway Station)</x:v>
      </x:c>
      <x:c r="F84" s="41" t="str">
        <x:v>Orange Hotel</x:v>
      </x:c>
      <x:c r="G84" s="41" t="str">
        <x:v>RETAIN</x:v>
      </x:c>
      <x:c r="H84" s="41" t="str">
        <x:v>PHYSICAL_AI</x:v>
      </x:c>
      <x:c r="I84" s="41" t="str">
        <x:v>Service robots</x:v>
      </x:c>
      <x:c r="J84" s="41" t="str">
        <x:v>KEEP_EXISTING_CANDIDATE</x:v>
      </x:c>
      <x:c r="K84" s="41" t="str">
        <x:v>MEDIUM-HIGH</x:v>
      </x:c>
      <x:c r="L84" s="41" t="str">
        <x:v>원본 목록의 Trip.com Service robots/robot delivery 명시 근거를 유지. 현행 표본 페이지 재점검으로 선정 규칙 타당성 확인.</x:v>
      </x:c>
      <x:c r="M84" s="41" t="str">
        <x:v>https://www.trip.com/hotels/hefei-hotel-detail-80953892/orange-hotel/</x:v>
      </x:c>
      <x:c r="N84" s="41" t="str">
        <x:v>https://www.trip.com/hotels/hefei-hotel-detail-80953892/orange-hotel/</x:v>
      </x:c>
      <x:c r="O84" s="42" t="str">
        <x:v>https://www.trip.com/hotels/hefei-hotel-detail-80953892/orange-hotel/review.html</x:v>
      </x:c>
    </x:row>
    <x:row r="85">
      <x:c r="A85" s="29" t="n">
        <x:v>84</x:v>
      </x:c>
      <x:c r="B85" s="30" t="n">
        <x:v>93</x:v>
      </x:c>
      <x:c r="C85" s="30" t="str">
        <x:v>China</x:v>
      </x:c>
      <x:c r="D85" s="30" t="str">
        <x:v>Zhengzhou</x:v>
      </x:c>
      <x:c r="E85" s="41" t="str">
        <x:v>JI Hotel (Zhengzhou Huayuan North Road Guoji Road)</x:v>
      </x:c>
      <x:c r="F85" s="41" t="str">
        <x:v>JI Hotel</x:v>
      </x:c>
      <x:c r="G85" s="41" t="str">
        <x:v>RETAIN</x:v>
      </x:c>
      <x:c r="H85" s="41" t="str">
        <x:v>PHYSICAL_AI</x:v>
      </x:c>
      <x:c r="I85" s="41" t="str">
        <x:v>Service robots</x:v>
      </x:c>
      <x:c r="J85" s="41" t="str">
        <x:v>KEEP_EXISTING_CANDIDATE</x:v>
      </x:c>
      <x:c r="K85" s="41" t="str">
        <x:v>MEDIUM-HIGH</x:v>
      </x:c>
      <x:c r="L85" s="41" t="str">
        <x:v>원본 목록의 Trip.com Service robots/robot delivery 명시 근거를 유지. 현행 표본 페이지 재점검으로 선정 규칙 타당성 확인.</x:v>
      </x:c>
      <x:c r="M85" s="41" t="str">
        <x:v>https://www.trip.com/hotels/zhengzhou-hotel-detail-114707074/ji-hotel/</x:v>
      </x:c>
      <x:c r="N85" s="41" t="str">
        <x:v>https://www.trip.com/hotels/zhengzhou-hotel-detail-114707074/ji-hotel/</x:v>
      </x:c>
      <x:c r="O85" s="42" t="str">
        <x:v>https://www.trip.com/hotels/zhengzhou-hotel-detail-114707074/ji-hotel/review.html</x:v>
      </x:c>
    </x:row>
    <x:row r="86">
      <x:c r="A86" s="29" t="n">
        <x:v>85</x:v>
      </x:c>
      <x:c r="B86" s="30" t="n">
        <x:v>94</x:v>
      </x:c>
      <x:c r="C86" s="30" t="str">
        <x:v>China</x:v>
      </x:c>
      <x:c r="D86" s="30" t="str">
        <x:v>Changsha</x:v>
      </x:c>
      <x:c r="E86" s="41" t="str">
        <x:v>JI Hotel (Changsha Wuyi Square IFS International Finance Center)</x:v>
      </x:c>
      <x:c r="F86" s="41" t="str">
        <x:v>JI Hotel</x:v>
      </x:c>
      <x:c r="G86" s="41" t="str">
        <x:v>RETAIN</x:v>
      </x:c>
      <x:c r="H86" s="41" t="str">
        <x:v>PHYSICAL_AI</x:v>
      </x:c>
      <x:c r="I86" s="41" t="str">
        <x:v>Food delivery robots / Service robots</x:v>
      </x:c>
      <x:c r="J86" s="41" t="str">
        <x:v>KEEP_EXISTING_CANDIDATE</x:v>
      </x:c>
      <x:c r="K86" s="41" t="str">
        <x:v>MEDIUM-HIGH</x:v>
      </x:c>
      <x:c r="L86" s="41" t="str">
        <x:v>원본 목록의 Trip.com Service robots/robot delivery 명시 근거를 유지. 현행 표본 페이지 재점검으로 선정 규칙 타당성 확인.</x:v>
      </x:c>
      <x:c r="M86" s="41" t="str">
        <x:v>https://www.trip.com/hotels/changsha-hotel-detail-114935658/ji-hotel/</x:v>
      </x:c>
      <x:c r="N86" s="41" t="str">
        <x:v>https://www.trip.com/hotels/changsha-hotel-detail-114935658/ji-hotel/</x:v>
      </x:c>
      <x:c r="O86" s="42" t="str">
        <x:v>https://www.trip.com/hotels/changsha-hotel-detail-114935658/ji-hotel/review.html</x:v>
      </x:c>
    </x:row>
    <x:row r="87">
      <x:c r="A87" s="29" t="n">
        <x:v>86</x:v>
      </x:c>
      <x:c r="B87" s="30" t="n">
        <x:v>95</x:v>
      </x:c>
      <x:c r="C87" s="30" t="str">
        <x:v>China</x:v>
      </x:c>
      <x:c r="D87" s="30" t="str">
        <x:v>Dalian</x:v>
      </x:c>
      <x:c r="E87" s="41" t="str">
        <x:v>JI Hotel (Dalian Zhongshan Square Renmin Road)</x:v>
      </x:c>
      <x:c r="F87" s="41" t="str">
        <x:v>JI Hotel</x:v>
      </x:c>
      <x:c r="G87" s="41" t="str">
        <x:v>RETAIN</x:v>
      </x:c>
      <x:c r="H87" s="41" t="str">
        <x:v>PHYSICAL_AI</x:v>
      </x:c>
      <x:c r="I87" s="41" t="str">
        <x:v>Food delivery robots / Service robots</x:v>
      </x:c>
      <x:c r="J87" s="41" t="str">
        <x:v>KEEP_EXISTING_CANDIDATE</x:v>
      </x:c>
      <x:c r="K87" s="41" t="str">
        <x:v>MEDIUM-HIGH</x:v>
      </x:c>
      <x:c r="L87" s="41" t="str">
        <x:v>원본 목록의 Trip.com Service robots/robot delivery 명시 근거를 유지. 현행 표본 페이지 재점검으로 선정 규칙 타당성 확인.</x:v>
      </x:c>
      <x:c r="M87" s="41" t="str">
        <x:v>https://www.trip.com/hotels/dalian-hotel-detail-1211544/ji-hotel/</x:v>
      </x:c>
      <x:c r="N87" s="41" t="str">
        <x:v>https://www.trip.com/hotels/dalian-hotel-detail-1211544/ji-hotel/</x:v>
      </x:c>
      <x:c r="O87" s="42" t="str">
        <x:v>https://www.trip.com/hotels/dalian-hotel-detail-1211544/ji-hotel/review.html</x:v>
      </x:c>
    </x:row>
    <x:row r="88">
      <x:c r="A88" s="29" t="n">
        <x:v>87</x:v>
      </x:c>
      <x:c r="B88" s="30" t="n">
        <x:v>96</x:v>
      </x:c>
      <x:c r="C88" s="30" t="str">
        <x:v>China</x:v>
      </x:c>
      <x:c r="D88" s="30" t="str">
        <x:v>Kunming</x:v>
      </x:c>
      <x:c r="E88" s="41" t="str">
        <x:v>JI Hotel (Kunming Railway Station International Convention and Exhibition Center)</x:v>
      </x:c>
      <x:c r="F88" s="41" t="str">
        <x:v>JI Hotel</x:v>
      </x:c>
      <x:c r="G88" s="41" t="str">
        <x:v>RETAIN</x:v>
      </x:c>
      <x:c r="H88" s="41" t="str">
        <x:v>PHYSICAL_AI</x:v>
      </x:c>
      <x:c r="I88" s="41" t="str">
        <x:v>Service robots</x:v>
      </x:c>
      <x:c r="J88" s="41" t="str">
        <x:v>KEEP_EXISTING_CANDIDATE</x:v>
      </x:c>
      <x:c r="K88" s="41" t="str">
        <x:v>MEDIUM-HIGH</x:v>
      </x:c>
      <x:c r="L88" s="41" t="str">
        <x:v>원본 목록의 Trip.com Service robots/robot delivery 명시 근거를 유지. 현행 표본 페이지 재점검으로 선정 규칙 타당성 확인.</x:v>
      </x:c>
      <x:c r="M88" s="41" t="str">
        <x:v>https://www.trip.com/hotels/kunming-hotel-detail-75441451/ji-hotel/</x:v>
      </x:c>
      <x:c r="N88" s="41" t="str">
        <x:v>https://www.trip.com/hotels/kunming-hotel-detail-75441451/ji-hotel/</x:v>
      </x:c>
      <x:c r="O88" s="42" t="str">
        <x:v>https://www.trip.com/hotels/kunming-hotel-detail-75441451/ji-hotel/review.html</x:v>
      </x:c>
    </x:row>
    <x:row r="89">
      <x:c r="A89" s="29" t="n">
        <x:v>88</x:v>
      </x:c>
      <x:c r="B89" s="30" t="n">
        <x:v>97</x:v>
      </x:c>
      <x:c r="C89" s="30" t="str">
        <x:v>China</x:v>
      </x:c>
      <x:c r="D89" s="30" t="str">
        <x:v>Kunming</x:v>
      </x:c>
      <x:c r="E89" s="41" t="str">
        <x:v>JI Hotel (Kunming Huochezhan North Square)</x:v>
      </x:c>
      <x:c r="F89" s="41" t="str">
        <x:v>JI Hotel</x:v>
      </x:c>
      <x:c r="G89" s="41" t="str">
        <x:v>RETAIN</x:v>
      </x:c>
      <x:c r="H89" s="41" t="str">
        <x:v>PHYSICAL_AI</x:v>
      </x:c>
      <x:c r="I89" s="41" t="str">
        <x:v>Food delivery robots / intelligent robot service / self check-in</x:v>
      </x:c>
      <x:c r="J89" s="41" t="str">
        <x:v>KEEP_EXISTING_CANDIDATE</x:v>
      </x:c>
      <x:c r="K89" s="41" t="str">
        <x:v>MEDIUM-HIGH</x:v>
      </x:c>
      <x:c r="L89" s="41" t="str">
        <x:v>원본 목록의 Trip.com Service robots/robot delivery 명시 근거를 유지. 현행 표본 페이지 재점검으로 선정 규칙 타당성 확인.</x:v>
      </x:c>
      <x:c r="M89" s="41" t="str">
        <x:v>https://www.trip.com/hotels/kunming-hotel-detail-116717456/ji-hotel/</x:v>
      </x:c>
      <x:c r="N89" s="41" t="str">
        <x:v>https://www.trip.com/hotels/kunming-hotel-detail-116717456/ji-hotel/</x:v>
      </x:c>
      <x:c r="O89" s="42" t="str">
        <x:v>https://www.trip.com/hotels/kunming-hotel-detail-116717456/ji-hotel/review.html</x:v>
      </x:c>
    </x:row>
    <x:row r="90">
      <x:c r="A90" s="29" t="n">
        <x:v>89</x:v>
      </x:c>
      <x:c r="B90" s="30" t="n">
        <x:v>98</x:v>
      </x:c>
      <x:c r="C90" s="30" t="str">
        <x:v>China</x:v>
      </x:c>
      <x:c r="D90" s="30" t="str">
        <x:v>Dalian</x:v>
      </x:c>
      <x:c r="E90" s="41" t="str">
        <x:v>JI Hotel (Dalian Development Zone Wanda Commercial Street)</x:v>
      </x:c>
      <x:c r="F90" s="41" t="str">
        <x:v>JI Hotel</x:v>
      </x:c>
      <x:c r="G90" s="41" t="str">
        <x:v>RETAIN</x:v>
      </x:c>
      <x:c r="H90" s="41" t="str">
        <x:v>PHYSICAL_AI</x:v>
      </x:c>
      <x:c r="I90" s="41" t="str">
        <x:v>Service robots</x:v>
      </x:c>
      <x:c r="J90" s="41" t="str">
        <x:v>KEEP_EXISTING_CANDIDATE</x:v>
      </x:c>
      <x:c r="K90" s="41" t="str">
        <x:v>MEDIUM-HIGH</x:v>
      </x:c>
      <x:c r="L90" s="41" t="str">
        <x:v>원본 목록의 Trip.com Service robots/robot delivery 명시 근거를 유지. 현행 표본 페이지 재점검으로 선정 규칙 타당성 확인.</x:v>
      </x:c>
      <x:c r="M90" s="41" t="str">
        <x:v>https://www.trip.com/hotels/dalian-hotel-detail-127995886/ji-hotel/</x:v>
      </x:c>
      <x:c r="N90" s="41" t="str">
        <x:v>https://www.trip.com/hotels/dalian-hotel-detail-127995886/ji-hotel/</x:v>
      </x:c>
      <x:c r="O90" s="42" t="str">
        <x:v>https://www.trip.com/hotels/dalian-hotel-detail-127995886/ji-hotel/review.html</x:v>
      </x:c>
    </x:row>
    <x:row r="91">
      <x:c r="A91" s="29" t="n">
        <x:v>90</x:v>
      </x:c>
      <x:c r="B91" s="30" t="n">
        <x:v>99</x:v>
      </x:c>
      <x:c r="C91" s="30" t="str">
        <x:v>China</x:v>
      </x:c>
      <x:c r="D91" s="30" t="str">
        <x:v>Harbin</x:v>
      </x:c>
      <x:c r="E91" s="41" t="str">
        <x:v>JI Hotel (Harbin Central Avenue)</x:v>
      </x:c>
      <x:c r="F91" s="41" t="str">
        <x:v>JI Hotel</x:v>
      </x:c>
      <x:c r="G91" s="41" t="str">
        <x:v>RETAIN</x:v>
      </x:c>
      <x:c r="H91" s="41" t="str">
        <x:v>PHYSICAL_AI</x:v>
      </x:c>
      <x:c r="I91" s="41" t="str">
        <x:v>Service robots</x:v>
      </x:c>
      <x:c r="J91" s="41" t="str">
        <x:v>KEEP_EXISTING_CANDIDATE</x:v>
      </x:c>
      <x:c r="K91" s="41" t="str">
        <x:v>MEDIUM-HIGH</x:v>
      </x:c>
      <x:c r="L91" s="41" t="str">
        <x:v>원본 목록의 Trip.com Service robots/robot delivery 명시 근거를 유지. 현행 표본 페이지 재점검으로 선정 규칙 타당성 확인.</x:v>
      </x:c>
      <x:c r="M91" s="41" t="str">
        <x:v>https://www.trip.com/hotels/harbin-hotel-detail-843746/ji-hotel/</x:v>
      </x:c>
      <x:c r="N91" s="41" t="str">
        <x:v>https://www.trip.com/hotels/harbin-hotel-detail-843746/ji-hotel/</x:v>
      </x:c>
      <x:c r="O91" s="42" t="str">
        <x:v>https://www.trip.com/hotels/harbin-hotel-detail-843746/ji-hotel/review.html</x:v>
      </x:c>
    </x:row>
    <x:row r="92">
      <x:c r="A92" s="29" t="n">
        <x:v>91</x:v>
      </x:c>
      <x:c r="B92" s="30" t="n">
        <x:v>100</x:v>
      </x:c>
      <x:c r="C92" s="30" t="str">
        <x:v>China</x:v>
      </x:c>
      <x:c r="D92" s="30" t="str">
        <x:v>Kunming</x:v>
      </x:c>
      <x:c r="E92" s="41" t="str">
        <x:v>Atour Hotel Chunrong Street, Kunming Government Affairs Center</x:v>
      </x:c>
      <x:c r="F92" s="41" t="str">
        <x:v>Atour Hotel Chunrong Street, Kunming Government Affairs Center</x:v>
      </x:c>
      <x:c r="G92" s="41" t="str">
        <x:v>RETAIN</x:v>
      </x:c>
      <x:c r="H92" s="41" t="str">
        <x:v>PHYSICAL_AI</x:v>
      </x:c>
      <x:c r="I92" s="41" t="str">
        <x:v>Service robots</x:v>
      </x:c>
      <x:c r="J92" s="41" t="str">
        <x:v>KEEP_EXISTING_CANDIDATE</x:v>
      </x:c>
      <x:c r="K92" s="41" t="str">
        <x:v>MEDIUM-HIGH</x:v>
      </x:c>
      <x:c r="L92" s="41" t="str">
        <x:v>원본 목록의 Trip.com Service robots/robot delivery 명시 근거를 유지. 현행 표본 페이지 재점검으로 선정 규칙 타당성 확인.</x:v>
      </x:c>
      <x:c r="M92" s="41" t="str">
        <x:v>https://www.trip.com/hotels/kunming-hotel-detail-68191988/atour-hotel/</x:v>
      </x:c>
      <x:c r="N92" s="41" t="str">
        <x:v>https://www.trip.com/hotels/kunming-hotel-detail-68191988/atour-hotel/</x:v>
      </x:c>
      <x:c r="O92" s="42" t="str">
        <x:v>https://www.trip.com/hotels/kunming-hotel-detail-68191988/atour-hotel/review.html</x:v>
      </x:c>
    </x:row>
    <x:row r="93">
      <x:c r="A93" s="29" t="n">
        <x:v>92</x:v>
      </x:c>
      <x:c r="B93" s="30"/>
      <x:c r="C93" s="30" t="str">
        <x:v>China</x:v>
      </x:c>
      <x:c r="D93" s="30" t="str">
        <x:v>Hangzhou</x:v>
      </x:c>
      <x:c r="E93" s="41" t="str">
        <x:v>Hangzhou haiwaihai Communication hotel</x:v>
      </x:c>
      <x:c r="F93" s="41" t="str">
        <x:v>Independent/Other</x:v>
      </x:c>
      <x:c r="G93" s="41" t="str">
        <x:v>ADD_REPLACEMENT</x:v>
      </x:c>
      <x:c r="H93" s="41" t="str">
        <x:v>PHYSICAL_AI</x:v>
      </x:c>
      <x:c r="I93" s="41" t="str">
        <x:v>Service robots</x:v>
      </x:c>
      <x:c r="J93" s="41" t="str">
        <x:v>KEEP_CONFIRMED_TRIPCOM_ROBOT_TAG</x:v>
      </x:c>
      <x:c r="K93" s="41" t="str">
        <x:v>HIGH</x:v>
      </x:c>
      <x:c r="L93" s="41" t="str">
        <x:v>Trip.com 현재 시설에 Service robots 명시</x:v>
      </x:c>
      <x:c r="M93" s="41" t="str">
        <x:v>https://www.trip.com/hotels/hangzhou-hotel-detail-533903/hangzhou-haiwaihai-communication-hotel/</x:v>
      </x:c>
      <x:c r="N93" s="41" t="str">
        <x:v>https://www.trip.com/hotels/hangzhou-hotel-detail-533903/hangzhou-haiwaihai-communication-hotel/</x:v>
      </x:c>
      <x:c r="O93" s="42" t="str">
        <x:v>https://www.trip.com/hotels/hangzhou-hotel-detail-533903/hangzhou-haiwaihai-communication-hotel/review.html</x:v>
      </x:c>
    </x:row>
    <x:row r="94">
      <x:c r="A94" s="29" t="n">
        <x:v>93</x:v>
      </x:c>
      <x:c r="B94" s="30"/>
      <x:c r="C94" s="30" t="str">
        <x:v>China</x:v>
      </x:c>
      <x:c r="D94" s="30" t="str">
        <x:v>Shenzhen</x:v>
      </x:c>
      <x:c r="E94" s="41" t="str">
        <x:v>ICON LAB Aiken Hotel (Wanda Plaza), Nanshan District, Shenzhen</x:v>
      </x:c>
      <x:c r="F94" s="41" t="str">
        <x:v>ICON LAB</x:v>
      </x:c>
      <x:c r="G94" s="41" t="str">
        <x:v>ADD_REPLACEMENT</x:v>
      </x:c>
      <x:c r="H94" s="41" t="str">
        <x:v>PHYSICAL_AI</x:v>
      </x:c>
      <x:c r="I94" s="41" t="str">
        <x:v>Service robots</x:v>
      </x:c>
      <x:c r="J94" s="41" t="str">
        <x:v>KEEP_CONFIRMED_TRIPCOM_ROBOT_TAG</x:v>
      </x:c>
      <x:c r="K94" s="41" t="str">
        <x:v>HIGH</x:v>
      </x:c>
      <x:c r="L94" s="41" t="str">
        <x:v>Trip.com 현재 시설에 Service robots 명시</x:v>
      </x:c>
      <x:c r="M94" s="41" t="str">
        <x:v>https://www.trip.com/hotels/shenzhen-hotel-detail-5753879/icon-lab-hotel-shenzhen-science-and-technology-park</x:v>
      </x:c>
      <x:c r="N94" s="41" t="str">
        <x:v>https://www.trip.com/hotels/shenzhen-hotel-detail-5753879/icon-lab-hotel-shenzhen-science-and-technology-park</x:v>
      </x:c>
      <x:c r="O94" s="42" t="str">
        <x:v>https://www.trip.com/hotels/shenzhen-hotel-detail-5753879/icon-lab-hotel-shenzhen-science-and-technology-park/review.html</x:v>
      </x:c>
    </x:row>
    <x:row r="95">
      <x:c r="A95" s="29" t="n">
        <x:v>94</x:v>
      </x:c>
      <x:c r="B95" s="30"/>
      <x:c r="C95" s="30" t="str">
        <x:v>China</x:v>
      </x:c>
      <x:c r="D95" s="30" t="str">
        <x:v>Shanghai</x:v>
      </x:c>
      <x:c r="E95" s="41" t="str">
        <x:v>Shanghai Lanshu Smart Hotel (Jinshan City Beach Branch)</x:v>
      </x:c>
      <x:c r="F95" s="41" t="str">
        <x:v>Independent/Other</x:v>
      </x:c>
      <x:c r="G95" s="41" t="str">
        <x:v>ADD_REPLACEMENT</x:v>
      </x:c>
      <x:c r="H95" s="41" t="str">
        <x:v>PHYSICAL_AI</x:v>
      </x:c>
      <x:c r="I95" s="41" t="str">
        <x:v>Service robots / smart delivery robot</x:v>
      </x:c>
      <x:c r="J95" s="41" t="str">
        <x:v>KEEP_CONFIRMED_TRIPCOM_ROBOT_TAG</x:v>
      </x:c>
      <x:c r="K95" s="41" t="str">
        <x:v>HIGH</x:v>
      </x:c>
      <x:c r="L95" s="41" t="str">
        <x:v>Trip.com 시설에 Service robots 및 smart delivery robot service 명시</x:v>
      </x:c>
      <x:c r="M95" s="41" t="str">
        <x:v>https://www.trip.com/hotels/shanghai-hotel-detail-114501164/shang-hai-lan-shu-zhi-hui-jiu-dian/</x:v>
      </x:c>
      <x:c r="N95" s="41" t="str">
        <x:v>https://www.trip.com/hotels/shanghai-hotel-detail-114501164/shang-hai-lan-shu-zhi-hui-jiu-dian/</x:v>
      </x:c>
      <x:c r="O95" s="42" t="str">
        <x:v>https://www.trip.com/hotels/shanghai-hotel-detail-114501164/shang-hai-lan-shu-zhi-hui-jiu-dian/review.html</x:v>
      </x:c>
    </x:row>
    <x:row r="96">
      <x:c r="A96" s="29" t="n">
        <x:v>95</x:v>
      </x:c>
      <x:c r="B96" s="30"/>
      <x:c r="C96" s="30" t="str">
        <x:v>China</x:v>
      </x:c>
      <x:c r="D96" s="30" t="str">
        <x:v>Suzhou</x:v>
      </x:c>
      <x:c r="E96" s="41" t="str">
        <x:v>Suzhou ONE Hotel (Guanqian Street Pingjiang Road)</x:v>
      </x:c>
      <x:c r="F96" s="41" t="str">
        <x:v>ONE Hotel</x:v>
      </x:c>
      <x:c r="G96" s="41" t="str">
        <x:v>ADD_REPLACEMENT</x:v>
      </x:c>
      <x:c r="H96" s="41" t="str">
        <x:v>PHYSICAL_AI</x:v>
      </x:c>
      <x:c r="I96" s="41" t="str">
        <x:v>Service robots</x:v>
      </x:c>
      <x:c r="J96" s="41" t="str">
        <x:v>KEEP_CONFIRMED_TRIPCOM_ROBOT_TAG</x:v>
      </x:c>
      <x:c r="K96" s="41" t="str">
        <x:v>HIGH</x:v>
      </x:c>
      <x:c r="L96" s="41" t="str">
        <x:v>Trip.com 현재 시설에 Service robots 명시</x:v>
      </x:c>
      <x:c r="M96" s="41" t="str">
        <x:v>https://www.trip.com/hotels/suzhou-hotel-detail-110706069/suzhou-one-hotel/</x:v>
      </x:c>
      <x:c r="N96" s="41" t="str">
        <x:v>https://www.trip.com/hotels/suzhou-hotel-detail-110706069/suzhou-one-hotel/</x:v>
      </x:c>
      <x:c r="O96" s="42" t="str">
        <x:v>https://www.trip.com/hotels/suzhou-hotel-detail-110706069/suzhou-one-hotel/review.html</x:v>
      </x:c>
    </x:row>
    <x:row r="97">
      <x:c r="A97" s="29" t="n">
        <x:v>96</x:v>
      </x:c>
      <x:c r="B97" s="30"/>
      <x:c r="C97" s="30" t="str">
        <x:v>China</x:v>
      </x:c>
      <x:c r="D97" s="30" t="str">
        <x:v>Chengdu</x:v>
      </x:c>
      <x:c r="E97" s="41" t="str">
        <x:v>Atour Hotel Chengdu Longquanyi Longdu South Road</x:v>
      </x:c>
      <x:c r="F97" s="41" t="str">
        <x:v>Atour Hotel</x:v>
      </x:c>
      <x:c r="G97" s="41" t="str">
        <x:v>ADD_REPLACEMENT</x:v>
      </x:c>
      <x:c r="H97" s="41" t="str">
        <x:v>PHYSICAL_AI</x:v>
      </x:c>
      <x:c r="I97" s="41" t="str">
        <x:v>Food delivery robots / Service robots</x:v>
      </x:c>
      <x:c r="J97" s="41" t="str">
        <x:v>KEEP_CONFIRMED_TRIPCOM_ROBOT_TAG</x:v>
      </x:c>
      <x:c r="K97" s="41" t="str">
        <x:v>HIGH</x:v>
      </x:c>
      <x:c r="L97" s="41" t="str">
        <x:v>Trip.com에 Food delivery robots 및 Service robots 명시</x:v>
      </x:c>
      <x:c r="M97" s="41" t="str">
        <x:v>https://www.trip.com/hotels/chengdu-hotel-detail-115802260/atour-hotel-chengdu-longquanyi-longdu-south-road/</x:v>
      </x:c>
      <x:c r="N97" s="41" t="str">
        <x:v>https://www.trip.com/hotels/chengdu-hotel-detail-115802260/atour-hotel-chengdu-longquanyi-longdu-south-road/</x:v>
      </x:c>
      <x:c r="O97" s="42" t="str">
        <x:v>https://www.trip.com/hotels/chengdu-hotel-detail-115802260/atour-hotel-chengdu-longquanyi-longdu-south-road/review.html</x:v>
      </x:c>
    </x:row>
    <x:row r="98">
      <x:c r="A98" s="29" t="n">
        <x:v>97</x:v>
      </x:c>
      <x:c r="B98" s="30"/>
      <x:c r="C98" s="30" t="str">
        <x:v>China</x:v>
      </x:c>
      <x:c r="D98" s="30" t="str">
        <x:v>Hangzhou</x:v>
      </x:c>
      <x:c r="E98" s="41" t="str">
        <x:v>Hangzhou MCC Hotel</x:v>
      </x:c>
      <x:c r="F98" s="41" t="str">
        <x:v>MCC Hotel</x:v>
      </x:c>
      <x:c r="G98" s="41" t="str">
        <x:v>ADD_REPLACEMENT</x:v>
      </x:c>
      <x:c r="H98" s="41" t="str">
        <x:v>PHYSICAL_AI</x:v>
      </x:c>
      <x:c r="I98" s="41" t="str">
        <x:v>Service robots</x:v>
      </x:c>
      <x:c r="J98" s="41" t="str">
        <x:v>KEEP_CONFIRMED_TRIPCOM_ROBOT_TAG</x:v>
      </x:c>
      <x:c r="K98" s="41" t="str">
        <x:v>HIGH</x:v>
      </x:c>
      <x:c r="L98" s="41" t="str">
        <x:v>Trip.com 현재 시설에 Service robots 명시</x:v>
      </x:c>
      <x:c r="M98" s="41" t="str">
        <x:v>https://www.trip.com/hotels/hangzhou-hotel-detail-82036335/citadines-wulin-new-town-hangzhou/</x:v>
      </x:c>
      <x:c r="N98" s="41" t="str">
        <x:v>https://www.trip.com/hotels/hangzhou-hotel-detail-82036335/citadines-wulin-new-town-hangzhou/</x:v>
      </x:c>
      <x:c r="O98" s="42" t="str">
        <x:v>https://www.trip.com/hotels/hangzhou-hotel-detail-82036335/citadines-wulin-new-town-hangzhou/review.html</x:v>
      </x:c>
    </x:row>
    <x:row r="99">
      <x:c r="A99" s="29" t="n">
        <x:v>98</x:v>
      </x:c>
      <x:c r="B99" s="30"/>
      <x:c r="C99" s="30" t="str">
        <x:v>China</x:v>
      </x:c>
      <x:c r="D99" s="30" t="str">
        <x:v>Shenzhen</x:v>
      </x:c>
      <x:c r="E99" s="41" t="str">
        <x:v>True Go Hotel</x:v>
      </x:c>
      <x:c r="F99" s="41" t="str">
        <x:v>True Go Hotel</x:v>
      </x:c>
      <x:c r="G99" s="41" t="str">
        <x:v>ADD_REPLACEMENT</x:v>
      </x:c>
      <x:c r="H99" s="41" t="str">
        <x:v>PHYSICAL_AI</x:v>
      </x:c>
      <x:c r="I99" s="41" t="str">
        <x:v>Service robots</x:v>
      </x:c>
      <x:c r="J99" s="41" t="str">
        <x:v>KEEP_CONFIRMED_TRIPCOM_ROBOT_TAG</x:v>
      </x:c>
      <x:c r="K99" s="41" t="str">
        <x:v>HIGH</x:v>
      </x:c>
      <x:c r="L99" s="41" t="str">
        <x:v>Trip.com 현재 시설에 Service robots 명시</x:v>
      </x:c>
      <x:c r="M99" s="41" t="str">
        <x:v>https://www.trip.com/hotels/shenzhen-hotel-detail-110470569/true-go-hotel/</x:v>
      </x:c>
      <x:c r="N99" s="41" t="str">
        <x:v>https://www.trip.com/hotels/shenzhen-hotel-detail-110470569/true-go-hotel/</x:v>
      </x:c>
      <x:c r="O99" s="42" t="str">
        <x:v>https://www.trip.com/hotels/shenzhen-hotel-detail-110470569/true-go-hotel/review.html</x:v>
      </x:c>
    </x:row>
    <x:row r="100">
      <x:c r="A100" s="29" t="n">
        <x:v>99</x:v>
      </x:c>
      <x:c r="B100" s="30"/>
      <x:c r="C100" s="30" t="str">
        <x:v>China</x:v>
      </x:c>
      <x:c r="D100" s="30" t="str">
        <x:v>Beijing</x:v>
      </x:c>
      <x:c r="E100" s="41" t="str">
        <x:v>JI Hotel (Beijing Environmental Protection Park Huawei Base)</x:v>
      </x:c>
      <x:c r="F100" s="41" t="str">
        <x:v>JI Hotel</x:v>
      </x:c>
      <x:c r="G100" s="41" t="str">
        <x:v>ADD_REPLACEMENT</x:v>
      </x:c>
      <x:c r="H100" s="41" t="str">
        <x:v>PHYSICAL_AI</x:v>
      </x:c>
      <x:c r="I100" s="41" t="str">
        <x:v>Service robots</x:v>
      </x:c>
      <x:c r="J100" s="41" t="str">
        <x:v>KEEP_CONFIRMED_TRIPCOM_ROBOT_TAG</x:v>
      </x:c>
      <x:c r="K100" s="41" t="str">
        <x:v>HIGH</x:v>
      </x:c>
      <x:c r="L100" s="41" t="str">
        <x:v>Trip.com 현재 시설에 Service robots 명시</x:v>
      </x:c>
      <x:c r="M100" s="41" t="str">
        <x:v>https://www.trip.com/hotels/beijing-hotel-detail-100427596/ji-hotel/</x:v>
      </x:c>
      <x:c r="N100" s="41" t="str">
        <x:v>https://www.trip.com/hotels/beijing-hotel-detail-100427596/ji-hotel/</x:v>
      </x:c>
      <x:c r="O100" s="42" t="str">
        <x:v>https://www.trip.com/hotels/beijing-hotel-detail-100427596/ji-hotel/review.html</x:v>
      </x:c>
    </x:row>
    <x:row r="101">
      <x:c r="A101" s="32" t="n">
        <x:v>100</x:v>
      </x:c>
      <x:c r="B101" s="33"/>
      <x:c r="C101" s="33" t="str">
        <x:v>China</x:v>
      </x:c>
      <x:c r="D101" s="33" t="str">
        <x:v>Chengdu</x:v>
      </x:c>
      <x:c r="E101" s="43" t="str">
        <x:v>Atour Hotel Chengdu High-tech Western District Government Affairs Center</x:v>
      </x:c>
      <x:c r="F101" s="43" t="str">
        <x:v>Atour Hotel</x:v>
      </x:c>
      <x:c r="G101" s="43" t="str">
        <x:v>ADD_REPLACEMENT</x:v>
      </x:c>
      <x:c r="H101" s="43" t="str">
        <x:v>PHYSICAL_AI</x:v>
      </x:c>
      <x:c r="I101" s="43" t="str">
        <x:v>Service robots</x:v>
      </x:c>
      <x:c r="J101" s="43" t="str">
        <x:v>KEEP_CONFIRMED_TRIPCOM_ROBOT_TAG</x:v>
      </x:c>
      <x:c r="K101" s="43" t="str">
        <x:v>HIGH</x:v>
      </x:c>
      <x:c r="L101" s="43" t="str">
        <x:v>Trip.com 현재 시설에 Service robots 명시</x:v>
      </x:c>
      <x:c r="M101" s="43" t="str">
        <x:v>https://www.trip.com/hotels/chengdu-hotel-detail-103803588/atour-hotel-chengdu-high-tech-western-district-government-affairs-center/</x:v>
      </x:c>
      <x:c r="N101" s="43" t="str">
        <x:v>https://www.trip.com/hotels/chengdu-hotel-detail-103803588/atour-hotel-chengdu-high-tech-western-district-government-affairs-center/</x:v>
      </x:c>
      <x:c r="O101" s="44" t="str">
        <x:v>https://www.trip.com/hotels/chengdu-hotel-detail-103803588/atour-hotel-chengdu-high-tech-western-district-government-affairs-center/review.html</x:v>
      </x:c>
    </x:row>
  </x:sheetData>
  <x:conditionalFormatting sqref="G2:G101">
    <x:cfRule type="expression" dxfId="0" priority="1">
      <x:formula>$G2="ADD_REPLACEMENT"</x:formula>
    </x:cfRule>
  </x:conditionalFormatting>
  <x:conditionalFormatting sqref="J2:J101">
    <x:cfRule type="expression" dxfId="1" priority="2">
      <x:formula>LEFT($J2,4)="KEEP"</x:formula>
    </x:cfRule>
  </x:conditionalFormatting>
  <x:conditionalFormatting sqref="K2:K101">
    <x:cfRule type="expression" dxfId="2" priority="3">
      <x:formula>$K2="HIGH"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0ff9bd42fa4f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40" hidden="0" customWidth="1"/>
    <x:col min="5" max="5" width="28" hidden="0" customWidth="1"/>
    <x:col min="6" max="6" width="24" hidden="0" customWidth="1"/>
    <x:col min="7" max="7" width="26" hidden="0" customWidth="1"/>
    <x:col min="8" max="8" width="50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34" customHeight="1">
      <x:c r="A1" s="12" t="str">
        <x:v>Original_No</x:v>
      </x:c>
      <x:c r="B1" s="13" t="str">
        <x:v>Country</x:v>
      </x:c>
      <x:c r="C1" s="13" t="str">
        <x:v>City</x:v>
      </x:c>
      <x:c r="D1" s="13" t="str">
        <x:v>Hotel</x:v>
      </x:c>
      <x:c r="E1" s="13" t="str">
        <x:v>Previous_Type</x:v>
      </x:c>
      <x:c r="F1" s="13" t="str">
        <x:v>New_Class</x:v>
      </x:c>
      <x:c r="G1" s="13" t="str">
        <x:v>Decision</x:v>
      </x:c>
      <x:c r="H1" s="13" t="str">
        <x:v>Exclusion_Rationale</x:v>
      </x:c>
      <x:c r="I1" s="13" t="str">
        <x:v>Evidence_URL</x:v>
      </x:c>
      <x:c r="J1" s="13" t="str">
        <x:v>Trip.com_Detail</x:v>
      </x:c>
      <x:c r="K1" s="14" t="str">
        <x:v>Trip.com_Review</x:v>
      </x:c>
    </x:row>
    <x:row r="2">
      <x:c r="A2" s="15" t="n">
        <x:v>1</x:v>
      </x:c>
      <x:c r="B2" s="16" t="str">
        <x:v>Japan</x:v>
      </x:c>
      <x:c r="C2" s="16" t="str">
        <x:v>Sendai</x:v>
      </x:c>
      <x:c r="D2" s="49" t="str">
        <x:v>Henn na Hotel Premier Sendai Kokubuncho</x:v>
      </x:c>
      <x:c r="E2" s="49" t="str">
        <x:v>홀로그램/자동 체크인</x:v>
      </x:c>
      <x:c r="F2" s="57" t="str">
        <x:v>AUTOMATION_ONLY</x:v>
      </x:c>
      <x:c r="G2" s="57" t="str">
        <x:v>EXCLUDE_FROM_PHYSICAL_AI</x:v>
      </x:c>
      <x:c r="H2" s="57" t="str">
        <x:v>현행 프런트가 Light Hologram 중심. 엄격한 Physical AI 기준에서 물리적 서비스 로봇으로 보지 않음.</x:v>
      </x:c>
      <x:c r="I2" s="49" t="str">
        <x:v>https://global.hennnahotel.com/en/sendai-kokubuncho/concept/</x:v>
      </x:c>
      <x:c r="J2" s="49" t="str">
        <x:v>https://www.trip.com/hotels/sendai-hotel-detail-72898129/henn-na-hotel-premier-sendai-kokubuncho/</x:v>
      </x:c>
      <x:c r="K2" s="50" t="str">
        <x:v>https://www.trip.com/hotels/sendai-hotel-detail-72898129/henn-na-hotel-premier-sendai-kokubuncho/review.html</x:v>
      </x:c>
    </x:row>
    <x:row r="3">
      <x:c r="A3" s="15" t="n">
        <x:v>9</x:v>
      </x:c>
      <x:c r="B3" s="16" t="str">
        <x:v>Japan</x:v>
      </x:c>
      <x:c r="C3" s="16" t="str">
        <x:v>Tokyo</x:v>
      </x:c>
      <x:c r="D3" s="49" t="str">
        <x:v>Henn na Hotel Premier Tokyo Asakusa Tawaramachi</x:v>
      </x:c>
      <x:c r="E3" s="49" t="str">
        <x:v>홀로그램 프런트/자동 체크인</x:v>
      </x:c>
      <x:c r="F3" s="57" t="str">
        <x:v>AUTOMATION_ONLY</x:v>
      </x:c>
      <x:c r="G3" s="57" t="str">
        <x:v>EXCLUDE_FROM_PHYSICAL_AI</x:v>
      </x:c>
      <x:c r="H3" s="57" t="str">
        <x:v>공식 설명이 hologram front desk/Light Hologram 중심.</x:v>
      </x:c>
      <x:c r="I3" s="49" t="str">
        <x:v>https://global.hennnahotel.com/en/asakusa-tawaramachi/</x:v>
      </x:c>
      <x:c r="J3" s="49" t="str">
        <x:v>https://www.trip.com/hotels/tokyo-hotel-detail-33514908/henn-na-hotel-premiere-tokyo-asakusa-tawaramachi/</x:v>
      </x:c>
      <x:c r="K3" s="50" t="str">
        <x:v>https://www.trip.com/hotels/tokyo-hotel-detail-33514908/henn-na-hotel-premiere-tokyo-asakusa-tawaramachi/review.html</x:v>
      </x:c>
    </x:row>
    <x:row r="4">
      <x:c r="A4" s="15" t="n">
        <x:v>12</x:v>
      </x:c>
      <x:c r="B4" s="16" t="str">
        <x:v>Japan</x:v>
      </x:c>
      <x:c r="C4" s="16" t="str">
        <x:v>Komatsu</x:v>
      </x:c>
      <x:c r="D4" s="49" t="str">
        <x:v>Henn na Hotel Komatsu Ekimae</x:v>
      </x:c>
      <x:c r="E4" s="49" t="str">
        <x:v>홀로그램/셀프 체크인</x:v>
      </x:c>
      <x:c r="F4" s="57" t="str">
        <x:v>AUTOMATION_ONLY</x:v>
      </x:c>
      <x:c r="G4" s="57" t="str">
        <x:v>EXCLUDE_FROM_PHYSICAL_AI</x:v>
      </x:c>
      <x:c r="H4" s="57" t="str">
        <x:v>Henn-na 공식 기술 분류에서 Light Hologram 지점으로 분류. 물리적 프런트 로봇 근거가 부족함.</x:v>
      </x:c>
      <x:c r="I4" s="49" t="str">
        <x:v>https://global.hennnahotel.com/en/</x:v>
      </x:c>
      <x:c r="J4" s="49" t="str">
        <x:v>https://www.trip.com/hotels/komatsu-hotel-detail-67108431/henn-na-hotel-komatsu-ekimae/</x:v>
      </x:c>
      <x:c r="K4" s="50" t="str">
        <x:v>https://www.trip.com/hotels/komatsu-hotel-detail-67108431/henn-na-hotel-komatsu-ekimae/review.html</x:v>
      </x:c>
    </x:row>
    <x:row r="5">
      <x:c r="A5" s="15" t="n">
        <x:v>13</x:v>
      </x:c>
      <x:c r="B5" s="16" t="str">
        <x:v>Japan</x:v>
      </x:c>
      <x:c r="C5" s="16" t="str">
        <x:v>Nagoya</x:v>
      </x:c>
      <x:c r="D5" s="49" t="str">
        <x:v>Henn na Hotel Premier Nagoya Fushimi Ekimae</x:v>
      </x:c>
      <x:c r="E5" s="49" t="str">
        <x:v>자동 체크인/Physical AI</x:v>
      </x:c>
      <x:c r="F5" s="57" t="str">
        <x:v>CONVENTIONAL_OR_AUTOMATED</x:v>
      </x:c>
      <x:c r="G5" s="57" t="str">
        <x:v>EXCLUDE_FROM_PHYSICAL_AI</x:v>
      </x:c>
      <x:c r="H5" s="57" t="str">
        <x:v>공식 개장 안내에서 로봇/영상기술을 도입하지 않고 Express Check-in 중심이라고 명시.</x:v>
      </x:c>
      <x:c r="I5" s="49" t="str">
        <x:v>https://global.hennnahotel.com/en/news/2415/</x:v>
      </x:c>
      <x:c r="J5" s="49" t="str">
        <x:v>https://www.trip.com/hotels/nagoya-hotel-detail-97354720/henn-na-hotel-premier-nagoya-fushimiekimae/</x:v>
      </x:c>
      <x:c r="K5" s="50" t="str">
        <x:v>https://www.trip.com/hotels/nagoya-hotel-detail-97354720/henn-na-hotel-premier-nagoya-fushimiekimae/review.html</x:v>
      </x:c>
    </x:row>
    <x:row r="6">
      <x:c r="A6" s="15" t="n">
        <x:v>16</x:v>
      </x:c>
      <x:c r="B6" s="16" t="str">
        <x:v>Japan</x:v>
      </x:c>
      <x:c r="C6" s="16" t="str">
        <x:v>Osaka</x:v>
      </x:c>
      <x:c r="D6" s="49" t="str">
        <x:v>Henn na Hotel Express Osaka Namba Nipponbashi</x:v>
      </x:c>
      <x:c r="E6" s="49" t="str">
        <x:v>무인/셀프 체크인 중심</x:v>
      </x:c>
      <x:c r="F6" s="57" t="str">
        <x:v>AUTOMATION_ONLY</x:v>
      </x:c>
      <x:c r="G6" s="57" t="str">
        <x:v>EXCLUDE_FROM_PHYSICAL_AI</x:v>
      </x:c>
      <x:c r="H6" s="57" t="str">
        <x:v>Express 브랜드 공식 안내에서 robots/light holograms를 도입하지 않는다고 명시.</x:v>
      </x:c>
      <x:c r="I6" s="49" t="str">
        <x:v>https://global.hennnahotel.com/en/news/5527/</x:v>
      </x:c>
      <x:c r="J6" s="49" t="str">
        <x:v>https://www.trip.com/hotels/osaka-hotel-detail-131832150/under-preparation/</x:v>
      </x:c>
      <x:c r="K6" s="50" t="str">
        <x:v>https://www.trip.com/hotels/osaka-hotel-detail-131832150/under-preparation/review.html</x:v>
      </x:c>
    </x:row>
    <x:row r="7">
      <x:c r="A7" s="15" t="n">
        <x:v>17</x:v>
      </x:c>
      <x:c r="B7" s="16" t="str">
        <x:v>Japan</x:v>
      </x:c>
      <x:c r="C7" s="16" t="str">
        <x:v>Osaka</x:v>
      </x:c>
      <x:c r="D7" s="49" t="str">
        <x:v>Henn na Hotel Express Osaka Namba Nipponbashi Annex</x:v>
      </x:c>
      <x:c r="E7" s="49" t="str">
        <x:v>무인 운영/셀프 체크인</x:v>
      </x:c>
      <x:c r="F7" s="57" t="str">
        <x:v>AUTOMATION_ONLY</x:v>
      </x:c>
      <x:c r="G7" s="57" t="str">
        <x:v>EXCLUDE_FROM_PHYSICAL_AI</x:v>
      </x:c>
      <x:c r="H7" s="57" t="str">
        <x:v>Express 브랜드 공식 안내에서 robots/light holograms를 도입하지 않는다고 명시.</x:v>
      </x:c>
      <x:c r="I7" s="49" t="str">
        <x:v>https://global.hennnahotel.com/en/news/5527/</x:v>
      </x:c>
      <x:c r="J7" s="49" t="str">
        <x:v>https://www.trip.com/hotels/osaka-hotel-detail-131860288/henn-na-hotel-express-osaka-namba-nipponbashi-annex/</x:v>
      </x:c>
      <x:c r="K7" s="50" t="str">
        <x:v>https://www.trip.com/hotels/osaka-hotel-detail-131860288/henn-na-hotel-express-osaka-namba-nipponbashi-annex/review.html</x:v>
      </x:c>
    </x:row>
    <x:row r="8">
      <x:c r="A8" s="15" t="n">
        <x:v>19</x:v>
      </x:c>
      <x:c r="B8" s="16" t="str">
        <x:v>Japan</x:v>
      </x:c>
      <x:c r="C8" s="16" t="str">
        <x:v>Nara</x:v>
      </x:c>
      <x:c r="D8" s="49" t="str">
        <x:v>Henn na Hotel Premier Nara</x:v>
      </x:c>
      <x:c r="E8" s="49" t="str">
        <x:v>로봇/자동 체크인</x:v>
      </x:c>
      <x:c r="F8" s="57" t="str">
        <x:v>AUTOMATION_ONLY</x:v>
      </x:c>
      <x:c r="G8" s="57" t="str">
        <x:v>EXCLUDE_FROM_PHYSICAL_AI</x:v>
      </x:c>
      <x:c r="H8" s="57" t="str">
        <x:v>현행 공식 콘셉트가 이전 공룡 로봇 대신 Light Hologram front를 사용.</x:v>
      </x:c>
      <x:c r="I8" s="49" t="str">
        <x:v>https://global.hennnahotel.com/en/nara/concept/</x:v>
      </x:c>
      <x:c r="J8" s="49" t="str">
        <x:v>https://www.trip.com/hotels/nara-hotel-detail-63337011/henn-na-hotel-premier-nara/</x:v>
      </x:c>
      <x:c r="K8" s="50" t="str">
        <x:v>https://www.trip.com/hotels/nara-hotel-detail-63337011/henn-na-hotel-premier-nara/review.html</x:v>
      </x:c>
    </x:row>
    <x:row r="9">
      <x:c r="A9" s="15" t="n">
        <x:v>21</x:v>
      </x:c>
      <x:c r="B9" s="16" t="str">
        <x:v>Japan</x:v>
      </x:c>
      <x:c r="C9" s="16" t="str">
        <x:v>Kyoto</x:v>
      </x:c>
      <x:c r="D9" s="49" t="str">
        <x:v>Henn na Hotel Premier Kyoto Gojo Karasuma</x:v>
      </x:c>
      <x:c r="E9" s="49" t="str">
        <x:v>자동화 체크인/Physical AI</x:v>
      </x:c>
      <x:c r="F9" s="57" t="str">
        <x:v>UNCERTAIN_EXCLUDE</x:v>
      </x:c>
      <x:c r="G9" s="57" t="str">
        <x:v>EXCLUDE_FROM_PHYSICAL_AI</x:v>
      </x:c>
      <x:c r="H9" s="57" t="str">
        <x:v>현행 공식 페이지에서 Express Check-In/Flap Display는 확인되지만 현재 물리적 서비스 로봇 근거가 명확하지 않음.</x:v>
      </x:c>
      <x:c r="I9" s="49" t="str">
        <x:v>https://global.hennnahotel.com/en/kyoto-gojo/</x:v>
      </x:c>
      <x:c r="J9" s="49" t="str">
        <x:v>https://www.trip.com/hotels/kyoto-hotel-detail-58041236/henn-na-hotel-premier-kyoto-gojo-karasuma-formerly-watermark-hotel-kyoto/</x:v>
      </x:c>
      <x:c r="K9" s="50" t="str">
        <x:v>https://www.trip.com/hotels/kyoto-hotel-detail-58041236/henn-na-hotel-premier-kyoto-gojo-karasuma-formerly-watermark-hotel-kyoto/review.html</x:v>
      </x:c>
    </x:row>
    <x:row r="10">
      <x:c r="A10" s="18" t="n">
        <x:v>23</x:v>
      </x:c>
      <x:c r="B10" s="19" t="str">
        <x:v>Japan</x:v>
      </x:c>
      <x:c r="C10" s="19" t="str">
        <x:v>Kagoshima</x:v>
      </x:c>
      <x:c r="D10" s="51" t="str">
        <x:v>Henn na Hotel Premier Kagoshima Tenmonkan</x:v>
      </x:c>
      <x:c r="E10" s="51" t="str">
        <x:v>홀로그램/자동 체크인</x:v>
      </x:c>
      <x:c r="F10" s="58" t="str">
        <x:v>AUTOMATION_ONLY</x:v>
      </x:c>
      <x:c r="G10" s="58" t="str">
        <x:v>EXCLUDE_FROM_PHYSICAL_AI</x:v>
      </x:c>
      <x:c r="H10" s="58" t="str">
        <x:v>현행 체크인이 Light Hologram 중심으로 안내됨.</x:v>
      </x:c>
      <x:c r="I10" s="51" t="str">
        <x:v>https://global.hennnahotel.com/en/kagoshima/</x:v>
      </x:c>
      <x:c r="J10" s="51" t="str">
        <x:v>https://www.trip.com/hotels/kagoshima-hotel-detail-97354692/henn-na-hotel-premier-kagoshima-tenmonkan/</x:v>
      </x:c>
      <x:c r="K10" s="52" t="str">
        <x:v>https://www.trip.com/hotels/kagoshima-hotel-detail-97354692/henn-na-hotel-premier-kagoshima-tenmonkan/review.html</x:v>
      </x:c>
    </x:row>
  </x:sheetData>
  <x:pageMargins left="0.7" right="0.7" top="0.75" bottom="0.75" header="0.3" footer="0.3"/>
  <x:tableParts count="1">
    <x:tablePart xmlns:r="http://schemas.openxmlformats.org/officeDocument/2006/relationships" r:id="R4df1d4e5236b46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40" hidden="0" customWidth="1"/>
    <x:col min="5" max="5" width="12" hidden="0" customWidth="1"/>
    <x:col min="6" max="6" width="15" hidden="0" customWidth="1"/>
    <x:col min="7" max="7" width="36" hidden="0" customWidth="1"/>
    <x:col min="8" max="8" width="30" hidden="0" customWidth="1"/>
    <x:col min="9" max="9" width="14" hidden="0" customWidth="1"/>
    <x:col min="10" max="10" width="22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</x:cols>
  <x:sheetData>
    <x:row r="1" ht="34" customHeight="1">
      <x:c r="A1" s="12" t="str">
        <x:v>Source_ID</x:v>
      </x:c>
      <x:c r="B1" s="13" t="str">
        <x:v>Country</x:v>
      </x:c>
      <x:c r="C1" s="13" t="str">
        <x:v>City</x:v>
      </x:c>
      <x:c r="D1" s="13" t="str">
        <x:v>Hotel</x:v>
      </x:c>
      <x:c r="E1" s="13" t="str">
        <x:v>Trip.com_Star</x:v>
      </x:c>
      <x:c r="F1" s="13" t="str">
        <x:v>Trip.com_Registered</x:v>
      </x:c>
      <x:c r="G1" s="13" t="str">
        <x:v>Service_Robot_Public</x:v>
      </x:c>
      <x:c r="H1" s="13" t="str">
        <x:v>Human_Frontdesk</x:v>
      </x:c>
      <x:c r="I1" s="13" t="str">
        <x:v>Validation_Grade</x:v>
      </x:c>
      <x:c r="J1" s="13" t="str">
        <x:v>Seed_Status</x:v>
      </x:c>
      <x:c r="K1" s="13" t="str">
        <x:v>Matching_Note</x:v>
      </x:c>
      <x:c r="L1" s="13" t="str">
        <x:v>Evidence_URL</x:v>
      </x:c>
      <x:c r="M1" s="13" t="str">
        <x:v>Trip.com_Detail</x:v>
      </x:c>
      <x:c r="N1" s="14" t="str">
        <x:v>Trip.com_Review</x:v>
      </x:c>
    </x:row>
    <x:row r="2">
      <x:c r="A2" s="15" t="str">
        <x:v>OLD_001</x:v>
      </x:c>
      <x:c r="B2" s="16" t="str">
        <x:v>Japan</x:v>
      </x:c>
      <x:c r="C2" s="16" t="str">
        <x:v>Tokyo</x:v>
      </x:c>
      <x:c r="D2" s="49" t="str">
        <x:v>Shinjuku Washington Hotel</x:v>
      </x:c>
      <x:c r="E2" s="49" t="n">
        <x:v>4</x:v>
      </x:c>
      <x:c r="F2" s="49" t="str">
        <x:v>Yes</x:v>
      </x:c>
      <x:c r="G2" s="49" t="str">
        <x:v>공개 Trip.com 페이지/검색결과 기준 표기 없음</x:v>
      </x:c>
      <x:c r="H2" s="49" t="str">
        <x:v>24h 프런트 명시 확인</x:v>
      </x:c>
      <x:c r="I2" s="49" t="str">
        <x:v>A</x:v>
      </x:c>
      <x:c r="J2" s="49" t="str">
        <x:v>SAME_CITY_POOL</x:v>
      </x:c>
      <x:c r="K2" s="49" t="str">
        <x:v>도시 일치 후보풀. Physical AI 호텔의 성급/가격 수집 후 최종 1:1 선택.</x:v>
      </x:c>
      <x:c r="L2" s="49" t="str">
        <x:v>https://www.trip.com/hotels/tokyo-hotel-detail-994914/shinjuku-washington-hotel/</x:v>
      </x:c>
      <x:c r="M2" s="49" t="str">
        <x:v>https://www.trip.com/hotels/tokyo-hotel-detail-994914/shinjuku-washington-hotel/</x:v>
      </x:c>
      <x:c r="N2" s="50" t="str">
        <x:v>https://www.trip.com/hotels/tokyo-hotel-detail-994914/shinjuku-washington-hotel/review.html</x:v>
      </x:c>
    </x:row>
    <x:row r="3">
      <x:c r="A3" s="15" t="str">
        <x:v>OLD_002</x:v>
      </x:c>
      <x:c r="B3" s="16" t="str">
        <x:v>Japan</x:v>
      </x:c>
      <x:c r="C3" s="16" t="str">
        <x:v>Tokyo</x:v>
      </x:c>
      <x:c r="D3" s="49" t="str">
        <x:v>Mitsui Garden Hotel Jingugaien Tokyo Premier</x:v>
      </x:c>
      <x:c r="E3" s="49" t="n">
        <x:v>4</x:v>
      </x:c>
      <x:c r="F3" s="49" t="str">
        <x:v>Yes</x:v>
      </x:c>
      <x:c r="G3" s="49" t="str">
        <x:v>공개 Trip.com 페이지/검색결과 기준 표기 없음</x:v>
      </x:c>
      <x:c r="H3" s="49" t="str">
        <x:v>24h 프런트 명시 확인</x:v>
      </x:c>
      <x:c r="I3" s="49" t="str">
        <x:v>A</x:v>
      </x:c>
      <x:c r="J3" s="49" t="str">
        <x:v>SAME_CITY_POOL</x:v>
      </x:c>
      <x:c r="K3" s="49" t="str">
        <x:v>도시 일치 후보풀. Physical AI 호텔의 성급/가격 수집 후 최종 1:1 선택.</x:v>
      </x:c>
      <x:c r="L3" s="49" t="str">
        <x:v>https://www.trip.com/hotels/tokyo-hotel-detail-35541585/mitsui-garden-hotel-jingugaien-tokyo-premier/</x:v>
      </x:c>
      <x:c r="M3" s="49" t="str">
        <x:v>https://www.trip.com/hotels/tokyo-hotel-detail-35541585/mitsui-garden-hotel-jingugaien-tokyo-premier/</x:v>
      </x:c>
      <x:c r="N3" s="50" t="str">
        <x:v>https://www.trip.com/hotels/tokyo-hotel-detail-35541585/mitsui-garden-hotel-jingugaien-tokyo-premier/review.html</x:v>
      </x:c>
    </x:row>
    <x:row r="4">
      <x:c r="A4" s="15" t="str">
        <x:v>OLD_003</x:v>
      </x:c>
      <x:c r="B4" s="16" t="str">
        <x:v>Japan</x:v>
      </x:c>
      <x:c r="C4" s="16" t="str">
        <x:v>Tokyo</x:v>
      </x:c>
      <x:c r="D4" s="49" t="str">
        <x:v>Keio Presso Inn Shinjuku</x:v>
      </x:c>
      <x:c r="E4" s="49" t="n">
        <x:v>3</x:v>
      </x:c>
      <x:c r="F4" s="49" t="str">
        <x:v>Yes</x:v>
      </x:c>
      <x:c r="G4" s="49" t="str">
        <x:v>공개 Trip.com 페이지/검색결과 기준 표기 없음</x:v>
      </x:c>
      <x:c r="H4" s="49" t="str">
        <x:v>24h 프런트 명시 확인</x:v>
      </x:c>
      <x:c r="I4" s="49" t="str">
        <x:v>A</x:v>
      </x:c>
      <x:c r="J4" s="49" t="str">
        <x:v>SAME_CITY_POOL</x:v>
      </x:c>
      <x:c r="K4" s="49" t="str">
        <x:v>도시 일치 후보풀. Physical AI 호텔의 성급/가격 수집 후 최종 1:1 선택.</x:v>
      </x:c>
      <x:c r="L4" s="49" t="str">
        <x:v>https://www.trip.com/hotels/tokyo-hotel-detail-780086/keio-presso-inn-shinjuku-tokyo/</x:v>
      </x:c>
      <x:c r="M4" s="49" t="str">
        <x:v>https://www.trip.com/hotels/tokyo-hotel-detail-780086/keio-presso-inn-shinjuku-tokyo/</x:v>
      </x:c>
      <x:c r="N4" s="50" t="str">
        <x:v>https://www.trip.com/hotels/tokyo-hotel-detail-780086/keio-presso-inn-shinjuku-tokyo/review.html</x:v>
      </x:c>
    </x:row>
    <x:row r="5">
      <x:c r="A5" s="15" t="str">
        <x:v>OLD_004</x:v>
      </x:c>
      <x:c r="B5" s="16" t="str">
        <x:v>Japan</x:v>
      </x:c>
      <x:c r="C5" s="16" t="str">
        <x:v>Tokyo</x:v>
      </x:c>
      <x:c r="D5" s="49" t="str">
        <x:v>KOKO HOTEL Shinjuku Yotsuya</x:v>
      </x:c>
      <x:c r="E5" s="49" t="n">
        <x:v>3</x:v>
      </x:c>
      <x:c r="F5" s="49" t="str">
        <x:v>Yes</x:v>
      </x:c>
      <x:c r="G5" s="49" t="str">
        <x:v>공개 Trip.com 페이지/검색결과 기준 표기 없음</x:v>
      </x:c>
      <x:c r="H5" s="49" t="str">
        <x:v>24h 프런트 명시 확인</x:v>
      </x:c>
      <x:c r="I5" s="49" t="str">
        <x:v>A</x:v>
      </x:c>
      <x:c r="J5" s="49" t="str">
        <x:v>SAME_CITY_POOL</x:v>
      </x:c>
      <x:c r="K5" s="49" t="str">
        <x:v>도시 일치 후보풀. Physical AI 호텔의 성급/가격 수집 후 최종 1:1 선택.</x:v>
      </x:c>
      <x:c r="L5" s="49" t="str">
        <x:v>https://www.trip.com/hotels/tokyo-hotel-detail-1978147/koko-hotel-shinjuku-yotsuya/</x:v>
      </x:c>
      <x:c r="M5" s="49" t="str">
        <x:v>https://www.trip.com/hotels/tokyo-hotel-detail-1978147/koko-hotel-shinjuku-yotsuya/</x:v>
      </x:c>
      <x:c r="N5" s="50" t="str">
        <x:v>https://www.trip.com/hotels/tokyo-hotel-detail-1978147/koko-hotel-shinjuku-yotsuya/review.html</x:v>
      </x:c>
    </x:row>
    <x:row r="6">
      <x:c r="A6" s="15" t="str">
        <x:v>OLD_005</x:v>
      </x:c>
      <x:c r="B6" s="16" t="str">
        <x:v>Japan</x:v>
      </x:c>
      <x:c r="C6" s="16" t="str">
        <x:v>Tokyo</x:v>
      </x:c>
      <x:c r="D6" s="49" t="str">
        <x:v>Shinjuku Granbell Hotel</x:v>
      </x:c>
      <x:c r="E6" s="49" t="n">
        <x:v>4</x:v>
      </x:c>
      <x:c r="F6" s="49" t="str">
        <x:v>Yes</x:v>
      </x:c>
      <x:c r="G6" s="49" t="str">
        <x:v>공개 Trip.com 페이지/검색결과 기준 표기 없음</x:v>
      </x:c>
      <x:c r="H6" s="49" t="str">
        <x:v>24h 프런트 명시 확인</x:v>
      </x:c>
      <x:c r="I6" s="49" t="str">
        <x:v>A</x:v>
      </x:c>
      <x:c r="J6" s="49" t="str">
        <x:v>SAME_CITY_POOL</x:v>
      </x:c>
      <x:c r="K6" s="49" t="str">
        <x:v>도시 일치 후보풀. Physical AI 호텔의 성급/가격 수집 후 최종 1:1 선택.</x:v>
      </x:c>
      <x:c r="L6" s="49" t="str">
        <x:v>https://www.trip.com/hotels/tokyo-hotel-detail-993892/shinjuku-granbell-hotel/</x:v>
      </x:c>
      <x:c r="M6" s="49" t="str">
        <x:v>https://www.trip.com/hotels/tokyo-hotel-detail-993892/shinjuku-granbell-hotel/</x:v>
      </x:c>
      <x:c r="N6" s="50" t="str">
        <x:v>https://www.trip.com/hotels/tokyo-hotel-detail-993892/shinjuku-granbell-hotel/review.html</x:v>
      </x:c>
    </x:row>
    <x:row r="7">
      <x:c r="A7" s="15" t="str">
        <x:v>OLD_006</x:v>
      </x:c>
      <x:c r="B7" s="16" t="str">
        <x:v>Japan</x:v>
      </x:c>
      <x:c r="C7" s="16" t="str">
        <x:v>Tokyo</x:v>
      </x:c>
      <x:c r="D7" s="49" t="str">
        <x:v>Tokyu Stay Shinjuku</x:v>
      </x:c>
      <x:c r="E7" s="49" t="n">
        <x:v>3</x:v>
      </x:c>
      <x:c r="F7" s="49" t="str">
        <x:v>Yes</x:v>
      </x:c>
      <x:c r="G7" s="49" t="str">
        <x:v>공개 Trip.com 페이지/검색결과 기준 표기 없음</x:v>
      </x:c>
      <x:c r="H7" s="49" t="str">
        <x:v>24h 프런트 명시 확인</x:v>
      </x:c>
      <x:c r="I7" s="49" t="str">
        <x:v>A</x:v>
      </x:c>
      <x:c r="J7" s="49" t="str">
        <x:v>SAME_CITY_POOL</x:v>
      </x:c>
      <x:c r="K7" s="49" t="str">
        <x:v>도시 일치 후보풀. Physical AI 호텔의 성급/가격 수집 후 최종 1:1 선택.</x:v>
      </x:c>
      <x:c r="L7" s="49" t="str">
        <x:v>https://www.trip.com/hotels/tokyo-hotel-detail-2509720/tokyu-stay-shinjuku/</x:v>
      </x:c>
      <x:c r="M7" s="49" t="str">
        <x:v>https://www.trip.com/hotels/tokyo-hotel-detail-2509720/tokyu-stay-shinjuku/</x:v>
      </x:c>
      <x:c r="N7" s="50" t="str">
        <x:v>https://www.trip.com/hotels/tokyo-hotel-detail-2509720/tokyu-stay-shinjuku/review.html</x:v>
      </x:c>
    </x:row>
    <x:row r="8">
      <x:c r="A8" s="15" t="str">
        <x:v>OLD_007</x:v>
      </x:c>
      <x:c r="B8" s="16" t="str">
        <x:v>Japan</x:v>
      </x:c>
      <x:c r="C8" s="16" t="str">
        <x:v>Tokyo</x:v>
      </x:c>
      <x:c r="D8" s="49" t="str">
        <x:v>Pearl Hotel Shinjuku Akebonobashi</x:v>
      </x:c>
      <x:c r="E8" s="49" t="n">
        <x:v>3</x:v>
      </x:c>
      <x:c r="F8" s="49" t="str">
        <x:v>Yes</x:v>
      </x:c>
      <x:c r="G8" s="49" t="str">
        <x:v>공개 Trip.com 페이지/검색결과 기준 표기 없음</x:v>
      </x:c>
      <x:c r="H8" s="49" t="str">
        <x:v>24h 프런트 명시 확인</x:v>
      </x:c>
      <x:c r="I8" s="49" t="str">
        <x:v>A</x:v>
      </x:c>
      <x:c r="J8" s="49" t="str">
        <x:v>SAME_CITY_POOL</x:v>
      </x:c>
      <x:c r="K8" s="49" t="str">
        <x:v>도시 일치 후보풀. Physical AI 호텔의 성급/가격 수집 후 최종 1:1 선택.</x:v>
      </x:c>
      <x:c r="L8" s="49" t="str">
        <x:v>https://www.trip.com/hotels/tokyo-hotel-detail-23466930/pearl-hotel-shinjuku-akebonobashi/</x:v>
      </x:c>
      <x:c r="M8" s="49" t="str">
        <x:v>https://www.trip.com/hotels/tokyo-hotel-detail-23466930/pearl-hotel-shinjuku-akebonobashi/</x:v>
      </x:c>
      <x:c r="N8" s="50" t="str">
        <x:v>https://www.trip.com/hotels/tokyo-hotel-detail-23466930/pearl-hotel-shinjuku-akebonobashi/review.html</x:v>
      </x:c>
    </x:row>
    <x:row r="9">
      <x:c r="A9" s="15" t="str">
        <x:v>OLD_008</x:v>
      </x:c>
      <x:c r="B9" s="16" t="str">
        <x:v>Japan</x:v>
      </x:c>
      <x:c r="C9" s="16" t="str">
        <x:v>Tokyo</x:v>
      </x:c>
      <x:c r="D9" s="49" t="str">
        <x:v>Hotel Gracery Shinjuku</x:v>
      </x:c>
      <x:c r="E9" s="49" t="n">
        <x:v>4</x:v>
      </x:c>
      <x:c r="F9" s="49" t="str">
        <x:v>Yes</x:v>
      </x:c>
      <x:c r="G9" s="49" t="str">
        <x:v>공개 Trip.com 페이지/검색결과 기준 표기 없음</x:v>
      </x:c>
      <x:c r="H9" s="49" t="str">
        <x:v>24h 프런트 명시 확인</x:v>
      </x:c>
      <x:c r="I9" s="49" t="str">
        <x:v>A</x:v>
      </x:c>
      <x:c r="J9" s="49" t="str">
        <x:v>SAME_CITY_POOL</x:v>
      </x:c>
      <x:c r="K9" s="49" t="str">
        <x:v>도시 일치 후보풀. Physical AI 호텔의 성급/가격 수집 후 최종 1:1 선택.</x:v>
      </x:c>
      <x:c r="L9" s="49" t="str">
        <x:v>https://www.trip.com/hotels/tokyo-hotel-detail-1841600/hotel-gracery-shinjuku-tokyo/</x:v>
      </x:c>
      <x:c r="M9" s="49" t="str">
        <x:v>https://www.trip.com/hotels/tokyo-hotel-detail-1841600/hotel-gracery-shinjuku-tokyo/</x:v>
      </x:c>
      <x:c r="N9" s="50" t="str">
        <x:v>https://www.trip.com/hotels/tokyo-hotel-detail-1841600/hotel-gracery-shinjuku-tokyo/review.html</x:v>
      </x:c>
    </x:row>
    <x:row r="10">
      <x:c r="A10" s="15" t="str">
        <x:v>OLD_009</x:v>
      </x:c>
      <x:c r="B10" s="16" t="str">
        <x:v>Japan</x:v>
      </x:c>
      <x:c r="C10" s="16" t="str">
        <x:v>Tokyo</x:v>
      </x:c>
      <x:c r="D10" s="49" t="str">
        <x:v>JR Kyushu Hotel Blossom Shinjuku</x:v>
      </x:c>
      <x:c r="E10" s="49" t="n">
        <x:v>4</x:v>
      </x:c>
      <x:c r="F10" s="49" t="str">
        <x:v>Yes</x:v>
      </x:c>
      <x:c r="G10" s="49" t="str">
        <x:v>공개 Trip.com 페이지/검색결과 기준 표기 없음</x:v>
      </x:c>
      <x:c r="H10" s="49" t="str">
        <x:v>유인 운영 정황 확인; 크롤링 전 1회 재확인 권장</x:v>
      </x:c>
      <x:c r="I10" s="49" t="str">
        <x:v>B</x:v>
      </x:c>
      <x:c r="J10" s="49" t="str">
        <x:v>SAME_CITY_POOL</x:v>
      </x:c>
      <x:c r="K10" s="49" t="str">
        <x:v>도시 일치 후보풀. Physical AI 호텔의 성급/가격 수집 후 최종 1:1 선택.</x:v>
      </x:c>
      <x:c r="L10" s="49" t="str">
        <x:v>https://www.trip.com/hotels/tokyo-hotel-detail-1857678/jr-kyushu-hotel-blossom-shinjuku/</x:v>
      </x:c>
      <x:c r="M10" s="49" t="str">
        <x:v>https://www.trip.com/hotels/tokyo-hotel-detail-1857678/jr-kyushu-hotel-blossom-shinjuku/</x:v>
      </x:c>
      <x:c r="N10" s="50" t="str">
        <x:v>https://www.trip.com/hotels/tokyo-hotel-detail-1857678/jr-kyushu-hotel-blossom-shinjuku/review.html</x:v>
      </x:c>
    </x:row>
    <x:row r="11">
      <x:c r="A11" s="15" t="str">
        <x:v>OLD_010</x:v>
      </x:c>
      <x:c r="B11" s="16" t="str">
        <x:v>Japan</x:v>
      </x:c>
      <x:c r="C11" s="16" t="str">
        <x:v>Tokyo</x:v>
      </x:c>
      <x:c r="D11" s="49" t="str">
        <x:v>Hotel JAL City Haneda Tokyo</x:v>
      </x:c>
      <x:c r="E11" s="49" t="n">
        <x:v>4</x:v>
      </x:c>
      <x:c r="F11" s="49" t="str">
        <x:v>Yes</x:v>
      </x:c>
      <x:c r="G11" s="49" t="str">
        <x:v>공개 Trip.com 페이지/검색결과 기준 표기 없음</x:v>
      </x:c>
      <x:c r="H11" s="49" t="str">
        <x:v>유인 운영 정황 확인; 크롤링 전 1회 재확인 권장</x:v>
      </x:c>
      <x:c r="I11" s="49" t="str">
        <x:v>B</x:v>
      </x:c>
      <x:c r="J11" s="49" t="str">
        <x:v>SAME_CITY_POOL</x:v>
      </x:c>
      <x:c r="K11" s="49" t="str">
        <x:v>도시 일치 후보풀. Physical AI 호텔의 성급/가격 수집 후 최종 1:1 선택.</x:v>
      </x:c>
      <x:c r="L11" s="49" t="str">
        <x:v>https://www.trip.com/hotels/tokyo-hotel-detail-688263/hotel-jal-city-haneda-tokyo/</x:v>
      </x:c>
      <x:c r="M11" s="49" t="str">
        <x:v>https://www.trip.com/hotels/tokyo-hotel-detail-688263/hotel-jal-city-haneda-tokyo/</x:v>
      </x:c>
      <x:c r="N11" s="50" t="str">
        <x:v>https://www.trip.com/hotels/tokyo-hotel-detail-688263/hotel-jal-city-haneda-tokyo/review.html</x:v>
      </x:c>
    </x:row>
    <x:row r="12">
      <x:c r="A12" s="15" t="str">
        <x:v>OLD_011</x:v>
      </x:c>
      <x:c r="B12" s="16" t="str">
        <x:v>Japan</x:v>
      </x:c>
      <x:c r="C12" s="16" t="str">
        <x:v>Tokyo</x:v>
      </x:c>
      <x:c r="D12" s="49" t="str">
        <x:v>Mercure Tokyo Haneda Airport</x:v>
      </x:c>
      <x:c r="E12" s="49" t="n">
        <x:v>4</x:v>
      </x:c>
      <x:c r="F12" s="49" t="str">
        <x:v>Yes</x:v>
      </x:c>
      <x:c r="G12" s="49" t="str">
        <x:v>공개 Trip.com 페이지/검색결과 기준 표기 없음</x:v>
      </x:c>
      <x:c r="H12" s="49" t="str">
        <x:v>24h 프런트 명시 확인</x:v>
      </x:c>
      <x:c r="I12" s="49" t="str">
        <x:v>A</x:v>
      </x:c>
      <x:c r="J12" s="49" t="str">
        <x:v>SAME_CITY_POOL</x:v>
      </x:c>
      <x:c r="K12" s="49" t="str">
        <x:v>도시 일치 후보풀. Physical AI 호텔의 성급/가격 수집 후 최종 1:1 선택.</x:v>
      </x:c>
      <x:c r="L12" s="49" t="str">
        <x:v>https://www.trip.com/hotels/tokyo-hotel-detail-109438307/mercure-tokyo-haneda-airport/</x:v>
      </x:c>
      <x:c r="M12" s="49" t="str">
        <x:v>https://www.trip.com/hotels/tokyo-hotel-detail-109438307/mercure-tokyo-haneda-airport/</x:v>
      </x:c>
      <x:c r="N12" s="50" t="str">
        <x:v>https://www.trip.com/hotels/tokyo-hotel-detail-109438307/mercure-tokyo-haneda-airport/review.html</x:v>
      </x:c>
    </x:row>
    <x:row r="13">
      <x:c r="A13" s="15" t="str">
        <x:v>OLD_012</x:v>
      </x:c>
      <x:c r="B13" s="16" t="str">
        <x:v>Japan</x:v>
      </x:c>
      <x:c r="C13" s="16" t="str">
        <x:v>Tokyo</x:v>
      </x:c>
      <x:c r="D13" s="49" t="str">
        <x:v>Keikyu EX Inn Haneda</x:v>
      </x:c>
      <x:c r="E13" s="49" t="n">
        <x:v>3</x:v>
      </x:c>
      <x:c r="F13" s="49" t="str">
        <x:v>Yes</x:v>
      </x:c>
      <x:c r="G13" s="49" t="str">
        <x:v>공개 Trip.com 페이지/검색결과 기준 표기 없음</x:v>
      </x:c>
      <x:c r="H13" s="49" t="str">
        <x:v>유인 운영 정황 확인; 크롤링 전 1회 재확인 권장</x:v>
      </x:c>
      <x:c r="I13" s="49" t="str">
        <x:v>B</x:v>
      </x:c>
      <x:c r="J13" s="49" t="str">
        <x:v>SAME_CITY_POOL</x:v>
      </x:c>
      <x:c r="K13" s="49" t="str">
        <x:v>도시 일치 후보풀. Physical AI 호텔의 성급/가격 수집 후 최종 1:1 선택.</x:v>
      </x:c>
      <x:c r="L13" s="49" t="str">
        <x:v>https://www.trip.com/hotels/tokyo-hotel-detail-10719698/keikyu-ex-inn-haneda/</x:v>
      </x:c>
      <x:c r="M13" s="49" t="str">
        <x:v>https://www.trip.com/hotels/tokyo-hotel-detail-10719698/keikyu-ex-inn-haneda/</x:v>
      </x:c>
      <x:c r="N13" s="50" t="str">
        <x:v>https://www.trip.com/hotels/tokyo-hotel-detail-10719698/keikyu-ex-inn-haneda/review.html</x:v>
      </x:c>
    </x:row>
    <x:row r="14">
      <x:c r="A14" s="15" t="str">
        <x:v>OLD_013</x:v>
      </x:c>
      <x:c r="B14" s="16" t="str">
        <x:v>Japan</x:v>
      </x:c>
      <x:c r="C14" s="16" t="str">
        <x:v>Tokyo</x:v>
      </x:c>
      <x:c r="D14" s="49" t="str">
        <x:v>hotel MONday Haneda Airport</x:v>
      </x:c>
      <x:c r="E14" s="49" t="n">
        <x:v>3</x:v>
      </x:c>
      <x:c r="F14" s="49" t="str">
        <x:v>Yes</x:v>
      </x:c>
      <x:c r="G14" s="49" t="str">
        <x:v>공개 Trip.com 페이지/검색결과 기준 표기 없음</x:v>
      </x:c>
      <x:c r="H14" s="49" t="str">
        <x:v>유인 운영 정황 확인; 크롤링 전 1회 재확인 권장</x:v>
      </x:c>
      <x:c r="I14" s="49" t="str">
        <x:v>B</x:v>
      </x:c>
      <x:c r="J14" s="49" t="str">
        <x:v>SAME_CITY_POOL</x:v>
      </x:c>
      <x:c r="K14" s="49" t="str">
        <x:v>도시 일치 후보풀. Physical AI 호텔의 성급/가격 수집 후 최종 1:1 선택.</x:v>
      </x:c>
      <x:c r="L14" s="49" t="str">
        <x:v>https://www.trip.com/hotels/tokyo-hotel-detail-10519009/hotel-monday-haneda-airport/</x:v>
      </x:c>
      <x:c r="M14" s="49" t="str">
        <x:v>https://www.trip.com/hotels/tokyo-hotel-detail-10519009/hotel-monday-haneda-airport/</x:v>
      </x:c>
      <x:c r="N14" s="50" t="str">
        <x:v>https://www.trip.com/hotels/tokyo-hotel-detail-10519009/hotel-monday-haneda-airport/review.html</x:v>
      </x:c>
    </x:row>
    <x:row r="15">
      <x:c r="A15" s="15" t="str">
        <x:v>OLD_014</x:v>
      </x:c>
      <x:c r="B15" s="16" t="str">
        <x:v>Japan</x:v>
      </x:c>
      <x:c r="C15" s="16" t="str">
        <x:v>Tokyo</x:v>
      </x:c>
      <x:c r="D15" s="49" t="str">
        <x:v>Tokyo Bay Ariake Washington Hotel</x:v>
      </x:c>
      <x:c r="E15" s="49" t="n">
        <x:v>4</x:v>
      </x:c>
      <x:c r="F15" s="49" t="str">
        <x:v>Yes</x:v>
      </x:c>
      <x:c r="G15" s="49" t="str">
        <x:v>공개 Trip.com 페이지/검색결과 기준 표기 없음</x:v>
      </x:c>
      <x:c r="H15" s="49" t="str">
        <x:v>유인 운영 정황 확인; 크롤링 전 1회 재확인 권장</x:v>
      </x:c>
      <x:c r="I15" s="49" t="str">
        <x:v>B</x:v>
      </x:c>
      <x:c r="J15" s="49" t="str">
        <x:v>SAME_CITY_POOL</x:v>
      </x:c>
      <x:c r="K15" s="49" t="str">
        <x:v>도시 일치 후보풀. Physical AI 호텔의 성급/가격 수집 후 최종 1:1 선택.</x:v>
      </x:c>
      <x:c r="L15" s="49" t="str">
        <x:v>https://www.trip.com/hotels/tokyo-hotel-detail-994929/tokyo-bay-ariake-washington-hotel/</x:v>
      </x:c>
      <x:c r="M15" s="49" t="str">
        <x:v>https://www.trip.com/hotels/tokyo-hotel-detail-994929/tokyo-bay-ariake-washington-hotel/</x:v>
      </x:c>
      <x:c r="N15" s="50" t="str">
        <x:v>https://www.trip.com/hotels/tokyo-hotel-detail-994929/tokyo-bay-ariake-washington-hotel/review.html</x:v>
      </x:c>
    </x:row>
    <x:row r="16">
      <x:c r="A16" s="15" t="str">
        <x:v>OLD_015</x:v>
      </x:c>
      <x:c r="B16" s="16" t="str">
        <x:v>Japan</x:v>
      </x:c>
      <x:c r="C16" s="16" t="str">
        <x:v>Tokyo</x:v>
      </x:c>
      <x:c r="D16" s="49" t="str">
        <x:v>Asakusa Tobu Hotel</x:v>
      </x:c>
      <x:c r="E16" s="49" t="n">
        <x:v>3</x:v>
      </x:c>
      <x:c r="F16" s="49" t="str">
        <x:v>Yes</x:v>
      </x:c>
      <x:c r="G16" s="49" t="str">
        <x:v>공개 Trip.com 페이지/검색결과 기준 표기 없음</x:v>
      </x:c>
      <x:c r="H16" s="49" t="str">
        <x:v>유인 운영 정황 확인; 크롤링 전 1회 재확인 권장</x:v>
      </x:c>
      <x:c r="I16" s="49" t="str">
        <x:v>B</x:v>
      </x:c>
      <x:c r="J16" s="49" t="str">
        <x:v>SAME_CITY_POOL</x:v>
      </x:c>
      <x:c r="K16" s="49" t="str">
        <x:v>도시 일치 후보풀. Physical AI 호텔의 성급/가격 수집 후 최종 1:1 선택.</x:v>
      </x:c>
      <x:c r="L16" s="49" t="str">
        <x:v>https://www.trip.com/hotels/tokyo-hotel-detail-57099041/asakusa-tobu-hotel/</x:v>
      </x:c>
      <x:c r="M16" s="49" t="str">
        <x:v>https://www.trip.com/hotels/tokyo-hotel-detail-57099041/asakusa-tobu-hotel/</x:v>
      </x:c>
      <x:c r="N16" s="50" t="str">
        <x:v>https://www.trip.com/hotels/tokyo-hotel-detail-57099041/asakusa-tobu-hotel/review.html</x:v>
      </x:c>
    </x:row>
    <x:row r="17">
      <x:c r="A17" s="15" t="str">
        <x:v>OLD_016</x:v>
      </x:c>
      <x:c r="B17" s="16" t="str">
        <x:v>Japan</x:v>
      </x:c>
      <x:c r="C17" s="16" t="str">
        <x:v>Tokyo</x:v>
      </x:c>
      <x:c r="D17" s="49" t="str">
        <x:v>Richmond Hotel Asakusa</x:v>
      </x:c>
      <x:c r="E17" s="49" t="n">
        <x:v>3</x:v>
      </x:c>
      <x:c r="F17" s="49" t="str">
        <x:v>Yes</x:v>
      </x:c>
      <x:c r="G17" s="49" t="str">
        <x:v>공개 Trip.com 페이지/검색결과 기준 표기 없음</x:v>
      </x:c>
      <x:c r="H17" s="49" t="str">
        <x:v>유인 운영 정황 확인; 크롤링 전 1회 재확인 권장</x:v>
      </x:c>
      <x:c r="I17" s="49" t="str">
        <x:v>B</x:v>
      </x:c>
      <x:c r="J17" s="49" t="str">
        <x:v>SAME_CITY_POOL</x:v>
      </x:c>
      <x:c r="K17" s="49" t="str">
        <x:v>도시 일치 후보풀. Physical AI 호텔의 성급/가격 수집 후 최종 1:1 선택.</x:v>
      </x:c>
      <x:c r="L17" s="49" t="str">
        <x:v>https://www.trip.com/hotels/tokyo-hotel-detail-686532/richmond-hotel-asakusa/</x:v>
      </x:c>
      <x:c r="M17" s="49" t="str">
        <x:v>https://www.trip.com/hotels/tokyo-hotel-detail-686532/richmond-hotel-asakusa/</x:v>
      </x:c>
      <x:c r="N17" s="50" t="str">
        <x:v>https://www.trip.com/hotels/tokyo-hotel-detail-686532/richmond-hotel-asakusa/review.html</x:v>
      </x:c>
    </x:row>
    <x:row r="18">
      <x:c r="A18" s="15" t="str">
        <x:v>OLD_017</x:v>
      </x:c>
      <x:c r="B18" s="16" t="str">
        <x:v>Japan</x:v>
      </x:c>
      <x:c r="C18" s="16" t="str">
        <x:v>Tokyo</x:v>
      </x:c>
      <x:c r="D18" s="49" t="str">
        <x:v>Hotel 1899 Tokyo</x:v>
      </x:c>
      <x:c r="E18" s="49" t="n">
        <x:v>3</x:v>
      </x:c>
      <x:c r="F18" s="49" t="str">
        <x:v>Yes</x:v>
      </x:c>
      <x:c r="G18" s="49" t="str">
        <x:v>공개 Trip.com 페이지/검색결과 기준 표기 없음</x:v>
      </x:c>
      <x:c r="H18" s="49" t="str">
        <x:v>유인 운영 정황 확인; 크롤링 전 1회 재확인 권장</x:v>
      </x:c>
      <x:c r="I18" s="49" t="str">
        <x:v>B</x:v>
      </x:c>
      <x:c r="J18" s="49" t="str">
        <x:v>SAME_CITY_POOL</x:v>
      </x:c>
      <x:c r="K18" s="49" t="str">
        <x:v>도시 일치 후보풀. Physical AI 호텔의 성급/가격 수집 후 최종 1:1 선택.</x:v>
      </x:c>
      <x:c r="L18" s="49" t="str">
        <x:v>https://www.trip.com/hotels/tokyo-hotel-detail-21844853/hotel-1899-tokyo/</x:v>
      </x:c>
      <x:c r="M18" s="49" t="str">
        <x:v>https://www.trip.com/hotels/tokyo-hotel-detail-21844853/hotel-1899-tokyo/</x:v>
      </x:c>
      <x:c r="N18" s="50" t="str">
        <x:v>https://www.trip.com/hotels/tokyo-hotel-detail-21844853/hotel-1899-tokyo/review.html</x:v>
      </x:c>
    </x:row>
    <x:row r="19">
      <x:c r="A19" s="15" t="str">
        <x:v>OLD_018</x:v>
      </x:c>
      <x:c r="B19" s="16" t="str">
        <x:v>Japan</x:v>
      </x:c>
      <x:c r="C19" s="16" t="str">
        <x:v>Tokyo</x:v>
      </x:c>
      <x:c r="D19" s="49" t="str">
        <x:v>Hotel Monterey Ginza</x:v>
      </x:c>
      <x:c r="E19" s="49" t="n">
        <x:v>4</x:v>
      </x:c>
      <x:c r="F19" s="49" t="str">
        <x:v>Yes</x:v>
      </x:c>
      <x:c r="G19" s="49" t="str">
        <x:v>공개 Trip.com 페이지/검색결과 기준 표기 없음</x:v>
      </x:c>
      <x:c r="H19" s="49" t="str">
        <x:v>유인 운영 정황 확인; 크롤링 전 1회 재확인 권장</x:v>
      </x:c>
      <x:c r="I19" s="49" t="str">
        <x:v>B</x:v>
      </x:c>
      <x:c r="J19" s="49" t="str">
        <x:v>SAME_CITY_POOL</x:v>
      </x:c>
      <x:c r="K19" s="49" t="str">
        <x:v>도시 일치 후보풀. Physical AI 호텔의 성급/가격 수집 후 최종 1:1 선택.</x:v>
      </x:c>
      <x:c r="L19" s="49" t="str">
        <x:v>https://www.trip.com/hotels/tokyo-hotel-detail-1438372/hotel-monterey-ginza/</x:v>
      </x:c>
      <x:c r="M19" s="49" t="str">
        <x:v>https://www.trip.com/hotels/tokyo-hotel-detail-1438372/hotel-monterey-ginza/</x:v>
      </x:c>
      <x:c r="N19" s="50" t="str">
        <x:v>https://www.trip.com/hotels/tokyo-hotel-detail-1438372/hotel-monterey-ginza/review.html</x:v>
      </x:c>
    </x:row>
    <x:row r="20">
      <x:c r="A20" s="15" t="str">
        <x:v>OLD_019</x:v>
      </x:c>
      <x:c r="B20" s="16" t="str">
        <x:v>Japan</x:v>
      </x:c>
      <x:c r="C20" s="16" t="str">
        <x:v>Tokyo</x:v>
      </x:c>
      <x:c r="D20" s="49" t="str">
        <x:v>Daiwa Roynet Hotel Ginza Premier</x:v>
      </x:c>
      <x:c r="E20" s="49" t="n">
        <x:v>4</x:v>
      </x:c>
      <x:c r="F20" s="49" t="str">
        <x:v>Yes</x:v>
      </x:c>
      <x:c r="G20" s="49" t="str">
        <x:v>공개 Trip.com 페이지/검색결과 기준 표기 없음</x:v>
      </x:c>
      <x:c r="H20" s="49" t="str">
        <x:v>24h 프런트 명시 확인</x:v>
      </x:c>
      <x:c r="I20" s="49" t="str">
        <x:v>A</x:v>
      </x:c>
      <x:c r="J20" s="49" t="str">
        <x:v>SAME_CITY_POOL</x:v>
      </x:c>
      <x:c r="K20" s="49" t="str">
        <x:v>도시 일치 후보풀. Physical AI 호텔의 성급/가격 수집 후 최종 1:1 선택.</x:v>
      </x:c>
      <x:c r="L20" s="49" t="str">
        <x:v>https://www.trip.com/hotels/tokyo-hotel-detail-3095695/daiwa-roynet-hotel-ginza-premier/</x:v>
      </x:c>
      <x:c r="M20" s="49" t="str">
        <x:v>https://www.trip.com/hotels/tokyo-hotel-detail-3095695/daiwa-roynet-hotel-ginza-premier/</x:v>
      </x:c>
      <x:c r="N20" s="50" t="str">
        <x:v>https://www.trip.com/hotels/tokyo-hotel-detail-3095695/daiwa-roynet-hotel-ginza-premier/review.html</x:v>
      </x:c>
    </x:row>
    <x:row r="21">
      <x:c r="A21" s="15" t="str">
        <x:v>OLD_020</x:v>
      </x:c>
      <x:c r="B21" s="16" t="str">
        <x:v>Japan</x:v>
      </x:c>
      <x:c r="C21" s="16" t="str">
        <x:v>Tokyo</x:v>
      </x:c>
      <x:c r="D21" s="49" t="str">
        <x:v>Solaria Nishitetsu Hotel Ginza</x:v>
      </x:c>
      <x:c r="E21" s="49" t="n">
        <x:v>4</x:v>
      </x:c>
      <x:c r="F21" s="49" t="str">
        <x:v>Yes</x:v>
      </x:c>
      <x:c r="G21" s="49" t="str">
        <x:v>공개 Trip.com 페이지/검색결과 기준 표기 없음</x:v>
      </x:c>
      <x:c r="H21" s="49" t="str">
        <x:v>24h 프런트 명시 확인</x:v>
      </x:c>
      <x:c r="I21" s="49" t="str">
        <x:v>A</x:v>
      </x:c>
      <x:c r="J21" s="49" t="str">
        <x:v>SAME_CITY_POOL</x:v>
      </x:c>
      <x:c r="K21" s="49" t="str">
        <x:v>도시 일치 후보풀. Physical AI 호텔의 성급/가격 수집 후 최종 1:1 선택.</x:v>
      </x:c>
      <x:c r="L21" s="49" t="str">
        <x:v>https://www.trip.com/hotels/tokyo-hotel-detail-1709267/solaria-nishitetsu-hotel-ginza/</x:v>
      </x:c>
      <x:c r="M21" s="49" t="str">
        <x:v>https://www.trip.com/hotels/tokyo-hotel-detail-1709267/solaria-nishitetsu-hotel-ginza/</x:v>
      </x:c>
      <x:c r="N21" s="50" t="str">
        <x:v>https://www.trip.com/hotels/tokyo-hotel-detail-1709267/solaria-nishitetsu-hotel-ginza/review.html</x:v>
      </x:c>
    </x:row>
    <x:row r="22">
      <x:c r="A22" s="15" t="str">
        <x:v>OLD_021</x:v>
      </x:c>
      <x:c r="B22" s="16" t="str">
        <x:v>Japan</x:v>
      </x:c>
      <x:c r="C22" s="16" t="str">
        <x:v>Osaka</x:v>
      </x:c>
      <x:c r="D22" s="49" t="str">
        <x:v>The OneFive Osaka Shinsekai</x:v>
      </x:c>
      <x:c r="E22" s="49" t="n">
        <x:v>3</x:v>
      </x:c>
      <x:c r="F22" s="49" t="str">
        <x:v>Yes</x:v>
      </x:c>
      <x:c r="G22" s="49" t="str">
        <x:v>공개 Trip.com 페이지/검색결과 기준 표기 없음</x:v>
      </x:c>
      <x:c r="H22" s="49" t="str">
        <x:v>유인 운영 정황 확인; 크롤링 전 1회 재확인 권장</x:v>
      </x:c>
      <x:c r="I22" s="49" t="str">
        <x:v>B</x:v>
      </x:c>
      <x:c r="J22" s="49" t="str">
        <x:v>SAME_CITY_POOL</x:v>
      </x:c>
      <x:c r="K22" s="49" t="str">
        <x:v>도시 일치 후보풀. Physical AI 호텔의 성급/가격 수집 후 최종 1:1 선택.</x:v>
      </x:c>
      <x:c r="L22" s="49" t="str">
        <x:v>https://www.trip.com/hotels/osaka-hotel-detail-133458487/the-onefive-osaka-shinsekai/</x:v>
      </x:c>
      <x:c r="M22" s="49" t="str">
        <x:v>https://www.trip.com/hotels/osaka-hotel-detail-133458487/the-onefive-osaka-shinsekai/</x:v>
      </x:c>
      <x:c r="N22" s="50" t="str">
        <x:v>https://www.trip.com/hotels/osaka-hotel-detail-133458487/the-onefive-osaka-shinsekai/review.html</x:v>
      </x:c>
    </x:row>
    <x:row r="23">
      <x:c r="A23" s="15" t="str">
        <x:v>OLD_022</x:v>
      </x:c>
      <x:c r="B23" s="16" t="str">
        <x:v>Japan</x:v>
      </x:c>
      <x:c r="C23" s="16" t="str">
        <x:v>Osaka</x:v>
      </x:c>
      <x:c r="D23" s="49" t="str">
        <x:v>Chisun Standard Osaka Shin-Imamiya</x:v>
      </x:c>
      <x:c r="E23" s="49" t="n">
        <x:v>3</x:v>
      </x:c>
      <x:c r="F23" s="49" t="str">
        <x:v>Yes</x:v>
      </x:c>
      <x:c r="G23" s="49" t="str">
        <x:v>공개 Trip.com 페이지/검색결과 기준 표기 없음</x:v>
      </x:c>
      <x:c r="H23" s="49" t="str">
        <x:v>유인 운영 정황 확인; 크롤링 전 1회 재확인 권장</x:v>
      </x:c>
      <x:c r="I23" s="49" t="str">
        <x:v>B</x:v>
      </x:c>
      <x:c r="J23" s="49" t="str">
        <x:v>SAME_CITY_POOL</x:v>
      </x:c>
      <x:c r="K23" s="49" t="str">
        <x:v>도시 일치 후보풀. Physical AI 호텔의 성급/가격 수집 후 최종 1:1 선택.</x:v>
      </x:c>
      <x:c r="L23" s="49" t="str">
        <x:v>https://www.trip.com/hotels/osaka-hotel-detail-84079848/da-ban-xin-jin-gong-zhi-xiang-she-jiu-dian/</x:v>
      </x:c>
      <x:c r="M23" s="49" t="str">
        <x:v>https://www.trip.com/hotels/osaka-hotel-detail-84079848/da-ban-xin-jin-gong-zhi-xiang-she-jiu-dian/</x:v>
      </x:c>
      <x:c r="N23" s="50" t="str">
        <x:v>https://www.trip.com/hotels/osaka-hotel-detail-84079848/da-ban-xin-jin-gong-zhi-xiang-she-jiu-dian/review.html</x:v>
      </x:c>
    </x:row>
    <x:row r="24">
      <x:c r="A24" s="15" t="str">
        <x:v>OLD_023</x:v>
      </x:c>
      <x:c r="B24" s="16" t="str">
        <x:v>Japan</x:v>
      </x:c>
      <x:c r="C24" s="16" t="str">
        <x:v>Osaka</x:v>
      </x:c>
      <x:c r="D24" s="49" t="str">
        <x:v>Park Central Sakura Hotel</x:v>
      </x:c>
      <x:c r="E24" s="49" t="n">
        <x:v>3</x:v>
      </x:c>
      <x:c r="F24" s="49" t="str">
        <x:v>Yes</x:v>
      </x:c>
      <x:c r="G24" s="49" t="str">
        <x:v>공개 Trip.com 페이지/검색결과 기준 표기 없음</x:v>
      </x:c>
      <x:c r="H24" s="49" t="str">
        <x:v>유인 운영 정황 확인; 크롤링 전 1회 재확인 권장</x:v>
      </x:c>
      <x:c r="I24" s="49" t="str">
        <x:v>B</x:v>
      </x:c>
      <x:c r="J24" s="49" t="str">
        <x:v>SAME_CITY_POOL</x:v>
      </x:c>
      <x:c r="K24" s="49" t="str">
        <x:v>도시 일치 후보풀. Physical AI 호텔의 성급/가격 수집 후 최종 1:1 선택.</x:v>
      </x:c>
      <x:c r="L24" s="49" t="str">
        <x:v>https://www.trip.com/hotels/osaka-hotel-detail-113514167/park-central-sakura-hotel/</x:v>
      </x:c>
      <x:c r="M24" s="49" t="str">
        <x:v>https://www.trip.com/hotels/osaka-hotel-detail-113514167/park-central-sakura-hotel/</x:v>
      </x:c>
      <x:c r="N24" s="50" t="str">
        <x:v>https://www.trip.com/hotels/osaka-hotel-detail-113514167/park-central-sakura-hotel/review.html</x:v>
      </x:c>
    </x:row>
    <x:row r="25">
      <x:c r="A25" s="15" t="str">
        <x:v>OLD_024</x:v>
      </x:c>
      <x:c r="B25" s="16" t="str">
        <x:v>Japan</x:v>
      </x:c>
      <x:c r="C25" s="16" t="str">
        <x:v>Osaka</x:v>
      </x:c>
      <x:c r="D25" s="49" t="str">
        <x:v>Onyado Nono Namba Natural Hot Spring</x:v>
      </x:c>
      <x:c r="E25" s="49" t="n">
        <x:v>4</x:v>
      </x:c>
      <x:c r="F25" s="49" t="str">
        <x:v>Yes</x:v>
      </x:c>
      <x:c r="G25" s="49" t="str">
        <x:v>공개 Trip.com 페이지/검색결과 기준 표기 없음</x:v>
      </x:c>
      <x:c r="H25" s="49" t="str">
        <x:v>유인 운영 정황 확인; 크롤링 전 1회 재확인 권장</x:v>
      </x:c>
      <x:c r="I25" s="49" t="str">
        <x:v>B</x:v>
      </x:c>
      <x:c r="J25" s="49" t="str">
        <x:v>SAME_CITY_POOL</x:v>
      </x:c>
      <x:c r="K25" s="49" t="str">
        <x:v>도시 일치 후보풀. Physical AI 호텔의 성급/가격 수집 후 최종 1:1 선택.</x:v>
      </x:c>
      <x:c r="L25" s="49" t="str">
        <x:v>https://www.trip.com/hotels/osaka-hotel-detail-5782369/onyado-nono-namba-natural-hot-spring/</x:v>
      </x:c>
      <x:c r="M25" s="49" t="str">
        <x:v>https://www.trip.com/hotels/osaka-hotel-detail-5782369/onyado-nono-namba-natural-hot-spring/</x:v>
      </x:c>
      <x:c r="N25" s="50" t="str">
        <x:v>https://www.trip.com/hotels/osaka-hotel-detail-5782369/onyado-nono-namba-natural-hot-spring/review.html</x:v>
      </x:c>
    </x:row>
    <x:row r="26">
      <x:c r="A26" s="15" t="str">
        <x:v>OLD_025</x:v>
      </x:c>
      <x:c r="B26" s="16" t="str">
        <x:v>Japan</x:v>
      </x:c>
      <x:c r="C26" s="16" t="str">
        <x:v>Osaka</x:v>
      </x:c>
      <x:c r="D26" s="49" t="str">
        <x:v>Osaka Ebisu Hotel</x:v>
      </x:c>
      <x:c r="E26" s="49" t="n">
        <x:v>3</x:v>
      </x:c>
      <x:c r="F26" s="49" t="str">
        <x:v>Yes</x:v>
      </x:c>
      <x:c r="G26" s="49" t="str">
        <x:v>공개 Trip.com 페이지/검색결과 기준 표기 없음</x:v>
      </x:c>
      <x:c r="H26" s="49" t="str">
        <x:v>유인 운영 정황 확인; 크롤링 전 1회 재확인 권장</x:v>
      </x:c>
      <x:c r="I26" s="49" t="str">
        <x:v>B</x:v>
      </x:c>
      <x:c r="J26" s="49" t="str">
        <x:v>SAME_CITY_POOL</x:v>
      </x:c>
      <x:c r="K26" s="49" t="str">
        <x:v>도시 일치 후보풀. Physical AI 호텔의 성급/가격 수집 후 최종 1:1 선택.</x:v>
      </x:c>
      <x:c r="L26" s="49" t="str">
        <x:v>https://www.trip.com/hotels/osaka-hotel-detail-5790659/osaka-ebisu-hotel/</x:v>
      </x:c>
      <x:c r="M26" s="49" t="str">
        <x:v>https://www.trip.com/hotels/osaka-hotel-detail-5790659/osaka-ebisu-hotel/</x:v>
      </x:c>
      <x:c r="N26" s="50" t="str">
        <x:v>https://www.trip.com/hotels/osaka-hotel-detail-5790659/osaka-ebisu-hotel/review.html</x:v>
      </x:c>
    </x:row>
    <x:row r="27">
      <x:c r="A27" s="15" t="str">
        <x:v>OLD_026</x:v>
      </x:c>
      <x:c r="B27" s="16" t="str">
        <x:v>Japan</x:v>
      </x:c>
      <x:c r="C27" s="16" t="str">
        <x:v>Osaka</x:v>
      </x:c>
      <x:c r="D27" s="49" t="str">
        <x:v>Hotel Monterey Grasmere Osaka</x:v>
      </x:c>
      <x:c r="E27" s="49" t="n">
        <x:v>4</x:v>
      </x:c>
      <x:c r="F27" s="49" t="str">
        <x:v>Yes</x:v>
      </x:c>
      <x:c r="G27" s="49" t="str">
        <x:v>공개 Trip.com 페이지/검색결과 기준 표기 없음</x:v>
      </x:c>
      <x:c r="H27" s="49" t="str">
        <x:v>유인 운영 정황 확인; 크롤링 전 1회 재확인 권장</x:v>
      </x:c>
      <x:c r="I27" s="49" t="str">
        <x:v>B</x:v>
      </x:c>
      <x:c r="J27" s="49" t="str">
        <x:v>SAME_CITY_POOL</x:v>
      </x:c>
      <x:c r="K27" s="49" t="str">
        <x:v>도시 일치 후보풀. Physical AI 호텔의 성급/가격 수집 후 최종 1:1 선택.</x:v>
      </x:c>
      <x:c r="L27" s="49" t="str">
        <x:v>https://www.trip.com/hotels/osaka-hotel-detail-688216/hotel-monterey-grasmere-osaka/</x:v>
      </x:c>
      <x:c r="M27" s="49" t="str">
        <x:v>https://www.trip.com/hotels/osaka-hotel-detail-688216/hotel-monterey-grasmere-osaka/</x:v>
      </x:c>
      <x:c r="N27" s="50" t="str">
        <x:v>https://www.trip.com/hotels/osaka-hotel-detail-688216/hotel-monterey-grasmere-osaka/review.html</x:v>
      </x:c>
    </x:row>
    <x:row r="28">
      <x:c r="A28" s="15" t="str">
        <x:v>OLD_027</x:v>
      </x:c>
      <x:c r="B28" s="16" t="str">
        <x:v>Japan</x:v>
      </x:c>
      <x:c r="C28" s="16" t="str">
        <x:v>Osaka</x:v>
      </x:c>
      <x:c r="D28" s="49" t="str">
        <x:v>Cross Hotel Osaka</x:v>
      </x:c>
      <x:c r="E28" s="49" t="n">
        <x:v>4</x:v>
      </x:c>
      <x:c r="F28" s="49" t="str">
        <x:v>Yes</x:v>
      </x:c>
      <x:c r="G28" s="49" t="str">
        <x:v>공개 Trip.com 페이지/검색결과 기준 표기 없음</x:v>
      </x:c>
      <x:c r="H28" s="49" t="str">
        <x:v>유인 운영 정황 확인; 크롤링 전 1회 재확인 권장</x:v>
      </x:c>
      <x:c r="I28" s="49" t="str">
        <x:v>B</x:v>
      </x:c>
      <x:c r="J28" s="49" t="str">
        <x:v>SAME_CITY_POOL</x:v>
      </x:c>
      <x:c r="K28" s="49" t="str">
        <x:v>도시 일치 후보풀. Physical AI 호텔의 성급/가격 수집 후 최종 1:1 선택.</x:v>
      </x:c>
      <x:c r="L28" s="49" t="str">
        <x:v>https://www.trip.com/hotels/osaka-hotel-detail-688204/cross-hotel-osaka/</x:v>
      </x:c>
      <x:c r="M28" s="49" t="str">
        <x:v>https://www.trip.com/hotels/osaka-hotel-detail-688204/cross-hotel-osaka/</x:v>
      </x:c>
      <x:c r="N28" s="50" t="str">
        <x:v>https://www.trip.com/hotels/osaka-hotel-detail-688204/cross-hotel-osaka/review.html</x:v>
      </x:c>
    </x:row>
    <x:row r="29">
      <x:c r="A29" s="15" t="str">
        <x:v>OLD_028</x:v>
      </x:c>
      <x:c r="B29" s="16" t="str">
        <x:v>Japan</x:v>
      </x:c>
      <x:c r="C29" s="16" t="str">
        <x:v>Osaka</x:v>
      </x:c>
      <x:c r="D29" s="49" t="str">
        <x:v>Citadines Namba Osaka</x:v>
      </x:c>
      <x:c r="E29" s="49" t="n">
        <x:v>4</x:v>
      </x:c>
      <x:c r="F29" s="49" t="str">
        <x:v>Yes</x:v>
      </x:c>
      <x:c r="G29" s="49" t="str">
        <x:v>공개 Trip.com 페이지/검색결과 기준 표기 없음</x:v>
      </x:c>
      <x:c r="H29" s="49" t="str">
        <x:v>유인 운영 정황 확인; 크롤링 전 1회 재확인 권장</x:v>
      </x:c>
      <x:c r="I29" s="49" t="str">
        <x:v>B</x:v>
      </x:c>
      <x:c r="J29" s="49" t="str">
        <x:v>SAME_CITY_POOL</x:v>
      </x:c>
      <x:c r="K29" s="49" t="str">
        <x:v>도시 일치 후보풀. Physical AI 호텔의 성급/가격 수집 후 최종 1:1 선택.</x:v>
      </x:c>
      <x:c r="L29" s="49" t="str">
        <x:v>https://www.trip.com/hotels/osaka-hotel-detail-52647143/citadines-namba-osaka/</x:v>
      </x:c>
      <x:c r="M29" s="49" t="str">
        <x:v>https://www.trip.com/hotels/osaka-hotel-detail-52647143/citadines-namba-osaka/</x:v>
      </x:c>
      <x:c r="N29" s="50" t="str">
        <x:v>https://www.trip.com/hotels/osaka-hotel-detail-52647143/citadines-namba-osaka/review.html</x:v>
      </x:c>
    </x:row>
    <x:row r="30">
      <x:c r="A30" s="15" t="str">
        <x:v>OLD_029</x:v>
      </x:c>
      <x:c r="B30" s="16" t="str">
        <x:v>Japan</x:v>
      </x:c>
      <x:c r="C30" s="16" t="str">
        <x:v>Osaka</x:v>
      </x:c>
      <x:c r="D30" s="49" t="str">
        <x:v>Hotel Granvia Osaka</x:v>
      </x:c>
      <x:c r="E30" s="49" t="n">
        <x:v>4</x:v>
      </x:c>
      <x:c r="F30" s="49" t="str">
        <x:v>Yes</x:v>
      </x:c>
      <x:c r="G30" s="49" t="str">
        <x:v>공개 Trip.com 페이지/검색결과 기준 표기 없음</x:v>
      </x:c>
      <x:c r="H30" s="49" t="str">
        <x:v>유인 운영 정황 확인; 크롤링 전 1회 재확인 권장</x:v>
      </x:c>
      <x:c r="I30" s="49" t="str">
        <x:v>B</x:v>
      </x:c>
      <x:c r="J30" s="49" t="str">
        <x:v>SAME_CITY_POOL</x:v>
      </x:c>
      <x:c r="K30" s="49" t="str">
        <x:v>도시 일치 후보풀. Physical AI 호텔의 성급/가격 수집 후 최종 1:1 선택.</x:v>
      </x:c>
      <x:c r="L30" s="49" t="str">
        <x:v>https://www.trip.com/hotels/osaka-hotel-detail-480887/hotel-granvia-osaka/</x:v>
      </x:c>
      <x:c r="M30" s="49" t="str">
        <x:v>https://www.trip.com/hotels/osaka-hotel-detail-480887/hotel-granvia-osaka/</x:v>
      </x:c>
      <x:c r="N30" s="50" t="str">
        <x:v>https://www.trip.com/hotels/osaka-hotel-detail-480887/hotel-granvia-osaka/review.html</x:v>
      </x:c>
    </x:row>
    <x:row r="31">
      <x:c r="A31" s="15" t="str">
        <x:v>OLD_030</x:v>
      </x:c>
      <x:c r="B31" s="16" t="str">
        <x:v>Japan</x:v>
      </x:c>
      <x:c r="C31" s="16" t="str">
        <x:v>Osaka</x:v>
      </x:c>
      <x:c r="D31" s="49" t="str">
        <x:v>Hotel Hankyu Respire Osaka</x:v>
      </x:c>
      <x:c r="E31" s="49" t="n">
        <x:v>4</x:v>
      </x:c>
      <x:c r="F31" s="49" t="str">
        <x:v>Yes</x:v>
      </x:c>
      <x:c r="G31" s="49" t="str">
        <x:v>공개 Trip.com 페이지/검색결과 기준 표기 없음</x:v>
      </x:c>
      <x:c r="H31" s="49" t="str">
        <x:v>유인 운영 정황 확인; 크롤링 전 1회 재확인 권장</x:v>
      </x:c>
      <x:c r="I31" s="49" t="str">
        <x:v>B</x:v>
      </x:c>
      <x:c r="J31" s="49" t="str">
        <x:v>SAME_CITY_POOL</x:v>
      </x:c>
      <x:c r="K31" s="49" t="str">
        <x:v>도시 일치 후보풀. Physical AI 호텔의 성급/가격 수집 후 최종 1:1 선택.</x:v>
      </x:c>
      <x:c r="L31" s="49" t="str">
        <x:v>https://www.trip.com/hotels/osaka-hotel-detail-37082416/hotel-hankyu-respire-osaka/</x:v>
      </x:c>
      <x:c r="M31" s="49" t="str">
        <x:v>https://www.trip.com/hotels/osaka-hotel-detail-37082416/hotel-hankyu-respire-osaka/</x:v>
      </x:c>
      <x:c r="N31" s="50" t="str">
        <x:v>https://www.trip.com/hotels/osaka-hotel-detail-37082416/hotel-hankyu-respire-osaka/review.html</x:v>
      </x:c>
    </x:row>
    <x:row r="32">
      <x:c r="A32" s="15" t="str">
        <x:v>OLD_031</x:v>
      </x:c>
      <x:c r="B32" s="16" t="str">
        <x:v>Japan</x:v>
      </x:c>
      <x:c r="C32" s="16" t="str">
        <x:v>Osaka</x:v>
      </x:c>
      <x:c r="D32" s="49" t="str">
        <x:v>Ibis Osaka Umeda</x:v>
      </x:c>
      <x:c r="E32" s="49" t="n">
        <x:v>3</x:v>
      </x:c>
      <x:c r="F32" s="49" t="str">
        <x:v>Yes</x:v>
      </x:c>
      <x:c r="G32" s="49" t="str">
        <x:v>공개 Trip.com 페이지/검색결과 기준 표기 없음</x:v>
      </x:c>
      <x:c r="H32" s="49" t="str">
        <x:v>유인 운영 정황 확인; 크롤링 전 1회 재확인 권장</x:v>
      </x:c>
      <x:c r="I32" s="49" t="str">
        <x:v>B</x:v>
      </x:c>
      <x:c r="J32" s="49" t="str">
        <x:v>SAME_CITY_POOL</x:v>
      </x:c>
      <x:c r="K32" s="49" t="str">
        <x:v>도시 일치 후보풀. Physical AI 호텔의 성급/가격 수집 후 최종 1:1 선택.</x:v>
      </x:c>
      <x:c r="L32" s="49" t="str">
        <x:v>https://www.trip.com/hotels/osaka-hotel-detail-23200967/ibis-osaka-umeda/</x:v>
      </x:c>
      <x:c r="M32" s="49" t="str">
        <x:v>https://www.trip.com/hotels/osaka-hotel-detail-23200967/ibis-osaka-umeda/</x:v>
      </x:c>
      <x:c r="N32" s="50" t="str">
        <x:v>https://www.trip.com/hotels/osaka-hotel-detail-23200967/ibis-osaka-umeda/review.html</x:v>
      </x:c>
    </x:row>
    <x:row r="33">
      <x:c r="A33" s="15" t="str">
        <x:v>OLD_032</x:v>
      </x:c>
      <x:c r="B33" s="16" t="str">
        <x:v>Japan</x:v>
      </x:c>
      <x:c r="C33" s="16" t="str">
        <x:v>Osaka</x:v>
      </x:c>
      <x:c r="D33" s="49" t="str">
        <x:v>hotel androoms Osaka Hommachi</x:v>
      </x:c>
      <x:c r="E33" s="49" t="n">
        <x:v>3</x:v>
      </x:c>
      <x:c r="F33" s="49" t="str">
        <x:v>Yes</x:v>
      </x:c>
      <x:c r="G33" s="49" t="str">
        <x:v>공개 Trip.com 페이지/검색결과 기준 표기 없음</x:v>
      </x:c>
      <x:c r="H33" s="49" t="str">
        <x:v>유인 운영 정황 확인; 크롤링 전 1회 재확인 권장</x:v>
      </x:c>
      <x:c r="I33" s="49" t="str">
        <x:v>B</x:v>
      </x:c>
      <x:c r="J33" s="49" t="str">
        <x:v>SAME_CITY_POOL</x:v>
      </x:c>
      <x:c r="K33" s="49" t="str">
        <x:v>도시 일치 후보풀. Physical AI 호텔의 성급/가격 수집 후 최종 1:1 선택.</x:v>
      </x:c>
      <x:c r="L33" s="49" t="str">
        <x:v>https://www.trip.com/hotels/osaka-hotel-detail-6634498/hotel-androoms-osaka-hommachi/</x:v>
      </x:c>
      <x:c r="M33" s="49" t="str">
        <x:v>https://www.trip.com/hotels/osaka-hotel-detail-6634498/hotel-androoms-osaka-hommachi/</x:v>
      </x:c>
      <x:c r="N33" s="50" t="str">
        <x:v>https://www.trip.com/hotels/osaka-hotel-detail-6634498/hotel-androoms-osaka-hommachi/review.html</x:v>
      </x:c>
    </x:row>
    <x:row r="34">
      <x:c r="A34" s="15" t="str">
        <x:v>OLD_033</x:v>
      </x:c>
      <x:c r="B34" s="16" t="str">
        <x:v>Japan</x:v>
      </x:c>
      <x:c r="C34" s="16" t="str">
        <x:v>Osaka</x:v>
      </x:c>
      <x:c r="D34" s="49" t="str">
        <x:v>The Bridge Hotel Shinsaibashi</x:v>
      </x:c>
      <x:c r="E34" s="49" t="n">
        <x:v>4</x:v>
      </x:c>
      <x:c r="F34" s="49" t="str">
        <x:v>Yes</x:v>
      </x:c>
      <x:c r="G34" s="49" t="str">
        <x:v>공개 Trip.com 페이지/검색결과 기준 표기 없음</x:v>
      </x:c>
      <x:c r="H34" s="49" t="str">
        <x:v>유인 운영 정황 확인; 크롤링 전 1회 재확인 권장</x:v>
      </x:c>
      <x:c r="I34" s="49" t="str">
        <x:v>B</x:v>
      </x:c>
      <x:c r="J34" s="49" t="str">
        <x:v>SAME_CITY_POOL</x:v>
      </x:c>
      <x:c r="K34" s="49" t="str">
        <x:v>도시 일치 후보풀. Physical AI 호텔의 성급/가격 수집 후 최종 1:1 선택.</x:v>
      </x:c>
      <x:c r="L34" s="49" t="str">
        <x:v>https://www.trip.com/hotels/osaka-hotel-detail-5816633/the-bridge-hotel-shinsaibashi-osaka/</x:v>
      </x:c>
      <x:c r="M34" s="49" t="str">
        <x:v>https://www.trip.com/hotels/osaka-hotel-detail-5816633/the-bridge-hotel-shinsaibashi-osaka/</x:v>
      </x:c>
      <x:c r="N34" s="50" t="str">
        <x:v>https://www.trip.com/hotels/osaka-hotel-detail-5816633/the-bridge-hotel-shinsaibashi-osaka/review.html</x:v>
      </x:c>
    </x:row>
    <x:row r="35">
      <x:c r="A35" s="15" t="str">
        <x:v>OLD_034</x:v>
      </x:c>
      <x:c r="B35" s="16" t="str">
        <x:v>Japan</x:v>
      </x:c>
      <x:c r="C35" s="16" t="str">
        <x:v>Osaka</x:v>
      </x:c>
      <x:c r="D35" s="49" t="str">
        <x:v>Holiday Inn Osaka Namba by IHG</x:v>
      </x:c>
      <x:c r="E35" s="49" t="n">
        <x:v>4</x:v>
      </x:c>
      <x:c r="F35" s="49" t="str">
        <x:v>Yes</x:v>
      </x:c>
      <x:c r="G35" s="49" t="str">
        <x:v>공개 Trip.com 페이지/검색결과 기준 표기 없음</x:v>
      </x:c>
      <x:c r="H35" s="49" t="str">
        <x:v>유인 운영 정황 확인; 크롤링 전 1회 재확인 권장</x:v>
      </x:c>
      <x:c r="I35" s="49" t="str">
        <x:v>B</x:v>
      </x:c>
      <x:c r="J35" s="49" t="str">
        <x:v>SAME_CITY_POOL</x:v>
      </x:c>
      <x:c r="K35" s="49" t="str">
        <x:v>도시 일치 후보풀. Physical AI 호텔의 성급/가격 수집 후 최종 1:1 선택.</x:v>
      </x:c>
      <x:c r="L35" s="49" t="str">
        <x:v>https://www.trip.com/hotels/osaka-hotel-detail-688205/holiday-inn-osaka-namba-by-ihg/</x:v>
      </x:c>
      <x:c r="M35" s="49" t="str">
        <x:v>https://www.trip.com/hotels/osaka-hotel-detail-688205/holiday-inn-osaka-namba-by-ihg/</x:v>
      </x:c>
      <x:c r="N35" s="50" t="str">
        <x:v>https://www.trip.com/hotels/osaka-hotel-detail-688205/holiday-inn-osaka-namba-by-ihg/review.html</x:v>
      </x:c>
    </x:row>
    <x:row r="36">
      <x:c r="A36" s="15" t="str">
        <x:v>OLD_035</x:v>
      </x:c>
      <x:c r="B36" s="16" t="str">
        <x:v>Japan</x:v>
      </x:c>
      <x:c r="C36" s="16" t="str">
        <x:v>Osaka</x:v>
      </x:c>
      <x:c r="D36" s="49" t="str">
        <x:v>Sotetsu Grand Fresa Osaka-Namba</x:v>
      </x:c>
      <x:c r="E36" s="49" t="n">
        <x:v>4</x:v>
      </x:c>
      <x:c r="F36" s="49" t="str">
        <x:v>Yes</x:v>
      </x:c>
      <x:c r="G36" s="49" t="str">
        <x:v>공개 Trip.com 페이지/검색결과 기준 표기 없음</x:v>
      </x:c>
      <x:c r="H36" s="49" t="str">
        <x:v>유인 운영 정황 확인; 크롤링 전 1회 재확인 권장</x:v>
      </x:c>
      <x:c r="I36" s="49" t="str">
        <x:v>B</x:v>
      </x:c>
      <x:c r="J36" s="49" t="str">
        <x:v>SAME_CITY_POOL</x:v>
      </x:c>
      <x:c r="K36" s="49" t="str">
        <x:v>도시 일치 후보풀. Physical AI 호텔의 성급/가격 수집 후 최종 1:1 선택.</x:v>
      </x:c>
      <x:c r="L36" s="49" t="str">
        <x:v>https://www.trip.com/hotels/osaka-hotel-detail-4064224/hotel-sunroute-osaka-namba/</x:v>
      </x:c>
      <x:c r="M36" s="49" t="str">
        <x:v>https://www.trip.com/hotels/osaka-hotel-detail-4064224/hotel-sunroute-osaka-namba/</x:v>
      </x:c>
      <x:c r="N36" s="50" t="str">
        <x:v>https://www.trip.com/hotels/osaka-hotel-detail-4064224/hotel-sunroute-osaka-namba/review.html</x:v>
      </x:c>
    </x:row>
    <x:row r="37">
      <x:c r="A37" s="15" t="str">
        <x:v>OLD_036</x:v>
      </x:c>
      <x:c r="B37" s="16" t="str">
        <x:v>Japan</x:v>
      </x:c>
      <x:c r="C37" s="16" t="str">
        <x:v>Osaka</x:v>
      </x:c>
      <x:c r="D37" s="49" t="str">
        <x:v>Quintessa Hotel Osaka Shinsaibashi</x:v>
      </x:c>
      <x:c r="E37" s="49" t="n">
        <x:v>3</x:v>
      </x:c>
      <x:c r="F37" s="49" t="str">
        <x:v>Yes</x:v>
      </x:c>
      <x:c r="G37" s="49" t="str">
        <x:v>공개 Trip.com 페이지/검색결과 기준 표기 없음</x:v>
      </x:c>
      <x:c r="H37" s="49" t="str">
        <x:v>유인 운영 정황 확인; 크롤링 전 1회 재확인 권장</x:v>
      </x:c>
      <x:c r="I37" s="49" t="str">
        <x:v>B</x:v>
      </x:c>
      <x:c r="J37" s="49" t="str">
        <x:v>SAME_CITY_POOL</x:v>
      </x:c>
      <x:c r="K37" s="49" t="str">
        <x:v>도시 일치 후보풀. Physical AI 호텔의 성급/가격 수집 후 최종 1:1 선택.</x:v>
      </x:c>
      <x:c r="L37" s="49" t="str">
        <x:v>https://www.trip.com/hotels/osaka-hotel-detail-8900892/quintessa-hotel-osaka-shinsaibashi/</x:v>
      </x:c>
      <x:c r="M37" s="49" t="str">
        <x:v>https://www.trip.com/hotels/osaka-hotel-detail-8900892/quintessa-hotel-osaka-shinsaibashi/</x:v>
      </x:c>
      <x:c r="N37" s="50" t="str">
        <x:v>https://www.trip.com/hotels/osaka-hotel-detail-8900892/quintessa-hotel-osaka-shinsaibashi/review.html</x:v>
      </x:c>
    </x:row>
    <x:row r="38">
      <x:c r="A38" s="15" t="str">
        <x:v>OLD_037</x:v>
      </x:c>
      <x:c r="B38" s="16" t="str">
        <x:v>Japan</x:v>
      </x:c>
      <x:c r="C38" s="16" t="str">
        <x:v>Osaka</x:v>
      </x:c>
      <x:c r="D38" s="49" t="str">
        <x:v>Hotel Gracery Osaka Namba</x:v>
      </x:c>
      <x:c r="E38" s="49" t="n">
        <x:v>4</x:v>
      </x:c>
      <x:c r="F38" s="49" t="str">
        <x:v>Yes</x:v>
      </x:c>
      <x:c r="G38" s="49" t="str">
        <x:v>공개 Trip.com 페이지/검색결과 기준 표기 없음</x:v>
      </x:c>
      <x:c r="H38" s="49" t="str">
        <x:v>유인 운영 정황 확인; 크롤링 전 1회 재확인 권장</x:v>
      </x:c>
      <x:c r="I38" s="49" t="str">
        <x:v>B</x:v>
      </x:c>
      <x:c r="J38" s="49" t="str">
        <x:v>SAME_CITY_POOL</x:v>
      </x:c>
      <x:c r="K38" s="49" t="str">
        <x:v>도시 일치 후보풀. Physical AI 호텔의 성급/가격 수집 후 최종 1:1 선택.</x:v>
      </x:c>
      <x:c r="L38" s="49" t="str">
        <x:v>https://www.trip.com/hotels/osaka-hotel-detail-29903490/hotel-gracery-osaka-namba/</x:v>
      </x:c>
      <x:c r="M38" s="49" t="str">
        <x:v>https://www.trip.com/hotels/osaka-hotel-detail-29903490/hotel-gracery-osaka-namba/</x:v>
      </x:c>
      <x:c r="N38" s="50" t="str">
        <x:v>https://www.trip.com/hotels/osaka-hotel-detail-29903490/hotel-gracery-osaka-namba/review.html</x:v>
      </x:c>
    </x:row>
    <x:row r="39">
      <x:c r="A39" s="15" t="str">
        <x:v>OLD_038</x:v>
      </x:c>
      <x:c r="B39" s="16" t="str">
        <x:v>Japan</x:v>
      </x:c>
      <x:c r="C39" s="16" t="str">
        <x:v>Osaka</x:v>
      </x:c>
      <x:c r="D39" s="49" t="str">
        <x:v>Namba Oriental Hotel</x:v>
      </x:c>
      <x:c r="E39" s="49" t="n">
        <x:v>4</x:v>
      </x:c>
      <x:c r="F39" s="49" t="str">
        <x:v>Yes</x:v>
      </x:c>
      <x:c r="G39" s="49" t="str">
        <x:v>공개 Trip.com 페이지/검색결과 기준 표기 없음</x:v>
      </x:c>
      <x:c r="H39" s="49" t="str">
        <x:v>24h 프런트 명시 확인</x:v>
      </x:c>
      <x:c r="I39" s="49" t="str">
        <x:v>A</x:v>
      </x:c>
      <x:c r="J39" s="49" t="str">
        <x:v>SAME_CITY_POOL</x:v>
      </x:c>
      <x:c r="K39" s="49" t="str">
        <x:v>도시 일치 후보풀. Physical AI 호텔의 성급/가격 수집 후 최종 1:1 선택.</x:v>
      </x:c>
      <x:c r="L39" s="49" t="str">
        <x:v>https://www.trip.com/hotels/osaka-hotel-detail-993356/namba-oriental-hotel/</x:v>
      </x:c>
      <x:c r="M39" s="49" t="str">
        <x:v>https://www.trip.com/hotels/osaka-hotel-detail-993356/namba-oriental-hotel/</x:v>
      </x:c>
      <x:c r="N39" s="50" t="str">
        <x:v>https://www.trip.com/hotels/osaka-hotel-detail-993356/namba-oriental-hotel/review.html</x:v>
      </x:c>
    </x:row>
    <x:row r="40">
      <x:c r="A40" s="15" t="str">
        <x:v>OLD_039</x:v>
      </x:c>
      <x:c r="B40" s="16" t="str">
        <x:v>Japan</x:v>
      </x:c>
      <x:c r="C40" s="16" t="str">
        <x:v>Osaka</x:v>
      </x:c>
      <x:c r="D40" s="49" t="str">
        <x:v>Hotel Keihan Namba Grande</x:v>
      </x:c>
      <x:c r="E40" s="49" t="n">
        <x:v>4</x:v>
      </x:c>
      <x:c r="F40" s="49" t="str">
        <x:v>Yes</x:v>
      </x:c>
      <x:c r="G40" s="49" t="str">
        <x:v>공개 Trip.com 페이지/검색결과 기준 표기 없음</x:v>
      </x:c>
      <x:c r="H40" s="49" t="str">
        <x:v>유인 운영 정황 확인; 크롤링 전 1회 재확인 권장</x:v>
      </x:c>
      <x:c r="I40" s="49" t="str">
        <x:v>B</x:v>
      </x:c>
      <x:c r="J40" s="49" t="str">
        <x:v>SAME_CITY_POOL</x:v>
      </x:c>
      <x:c r="K40" s="49" t="str">
        <x:v>도시 일치 후보풀. Physical AI 호텔의 성급/가격 수집 후 최종 1:1 선택.</x:v>
      </x:c>
      <x:c r="L40" s="49" t="str">
        <x:v>https://www.trip.com/hotels/osaka-hotel-detail-99513876/hotel-keihan-namba-grande/</x:v>
      </x:c>
      <x:c r="M40" s="49" t="str">
        <x:v>https://www.trip.com/hotels/osaka-hotel-detail-99513876/hotel-keihan-namba-grande/</x:v>
      </x:c>
      <x:c r="N40" s="50" t="str">
        <x:v>https://www.trip.com/hotels/osaka-hotel-detail-99513876/hotel-keihan-namba-grande/review.html</x:v>
      </x:c>
    </x:row>
    <x:row r="41">
      <x:c r="A41" s="15" t="str">
        <x:v>OLD_040</x:v>
      </x:c>
      <x:c r="B41" s="16" t="str">
        <x:v>Japan</x:v>
      </x:c>
      <x:c r="C41" s="16" t="str">
        <x:v>Osaka</x:v>
      </x:c>
      <x:c r="D41" s="49" t="str">
        <x:v>Hearton Hotel Shinsaibashi</x:v>
      </x:c>
      <x:c r="E41" s="49" t="n">
        <x:v>3</x:v>
      </x:c>
      <x:c r="F41" s="49" t="str">
        <x:v>Yes</x:v>
      </x:c>
      <x:c r="G41" s="49" t="str">
        <x:v>공개 Trip.com 페이지/검색결과 기준 표기 없음</x:v>
      </x:c>
      <x:c r="H41" s="49" t="str">
        <x:v>24h 프런트 명시 확인</x:v>
      </x:c>
      <x:c r="I41" s="49" t="str">
        <x:v>A</x:v>
      </x:c>
      <x:c r="J41" s="49" t="str">
        <x:v>SAME_CITY_POOL</x:v>
      </x:c>
      <x:c r="K41" s="49" t="str">
        <x:v>도시 일치 후보풀. Physical AI 호텔의 성급/가격 수집 후 최종 1:1 선택.</x:v>
      </x:c>
      <x:c r="L41" s="49" t="str">
        <x:v>https://www.trip.com/hotels/osaka-hotel-detail-759843/hearton-hotel-shinsaibashi/</x:v>
      </x:c>
      <x:c r="M41" s="49" t="str">
        <x:v>https://www.trip.com/hotels/osaka-hotel-detail-759843/hearton-hotel-shinsaibashi/</x:v>
      </x:c>
      <x:c r="N41" s="50" t="str">
        <x:v>https://www.trip.com/hotels/osaka-hotel-detail-759843/hearton-hotel-shinsaibashi/review.html</x:v>
      </x:c>
    </x:row>
    <x:row r="42">
      <x:c r="A42" s="15" t="str">
        <x:v>OLD_041</x:v>
      </x:c>
      <x:c r="B42" s="16" t="str">
        <x:v>Japan</x:v>
      </x:c>
      <x:c r="C42" s="16" t="str">
        <x:v>Kyoto</x:v>
      </x:c>
      <x:c r="D42" s="49" t="str">
        <x:v>Oriental Hotel Kyoto Rokujo</x:v>
      </x:c>
      <x:c r="E42" s="49" t="n">
        <x:v>4</x:v>
      </x:c>
      <x:c r="F42" s="49" t="str">
        <x:v>Yes</x:v>
      </x:c>
      <x:c r="G42" s="49" t="str">
        <x:v>공개 Trip.com 페이지/검색결과 기준 표기 없음</x:v>
      </x:c>
      <x:c r="H42" s="49" t="str">
        <x:v>24h 프런트 명시 확인</x:v>
      </x:c>
      <x:c r="I42" s="49" t="str">
        <x:v>A</x:v>
      </x:c>
      <x:c r="J42" s="49" t="str">
        <x:v>SAME_CITY_POOL</x:v>
      </x:c>
      <x:c r="K42" s="49" t="str">
        <x:v>도시 일치 후보풀. Physical AI 호텔의 성급/가격 수집 후 최종 1:1 선택.</x:v>
      </x:c>
      <x:c r="L42" s="49" t="str">
        <x:v>https://www.trip.com/hotels/kyoto-hotel-detail-43463397/oriental-hotel-kyoto-rokujo/</x:v>
      </x:c>
      <x:c r="M42" s="49" t="str">
        <x:v>https://www.trip.com/hotels/kyoto-hotel-detail-43463397/oriental-hotel-kyoto-rokujo/</x:v>
      </x:c>
      <x:c r="N42" s="50" t="str">
        <x:v>https://www.trip.com/hotels/kyoto-hotel-detail-43463397/oriental-hotel-kyoto-rokujo/review.html</x:v>
      </x:c>
    </x:row>
    <x:row r="43">
      <x:c r="A43" s="15" t="str">
        <x:v>OLD_042</x:v>
      </x:c>
      <x:c r="B43" s="16" t="str">
        <x:v>Japan</x:v>
      </x:c>
      <x:c r="C43" s="16" t="str">
        <x:v>Kyoto</x:v>
      </x:c>
      <x:c r="D43" s="49" t="str">
        <x:v>Miyako Hotel Kyoto Hachijo</x:v>
      </x:c>
      <x:c r="E43" s="49" t="n">
        <x:v>4</x:v>
      </x:c>
      <x:c r="F43" s="49" t="str">
        <x:v>Yes</x:v>
      </x:c>
      <x:c r="G43" s="49" t="str">
        <x:v>공개 Trip.com 페이지/검색결과 기준 표기 없음</x:v>
      </x:c>
      <x:c r="H43" s="49" t="str">
        <x:v>유인 운영 정황 확인; 크롤링 전 1회 재확인 권장</x:v>
      </x:c>
      <x:c r="I43" s="49" t="str">
        <x:v>B</x:v>
      </x:c>
      <x:c r="J43" s="49" t="str">
        <x:v>SAME_CITY_POOL</x:v>
      </x:c>
      <x:c r="K43" s="49" t="str">
        <x:v>도시 일치 후보풀. Physical AI 호텔의 성급/가격 수집 후 최종 1:1 선택.</x:v>
      </x:c>
      <x:c r="L43" s="49" t="str">
        <x:v>https://www.trip.com/hotels/kyoto-hotel-detail-737157/miyako-hotel-kyoto-hachijo/</x:v>
      </x:c>
      <x:c r="M43" s="49" t="str">
        <x:v>https://www.trip.com/hotels/kyoto-hotel-detail-737157/miyako-hotel-kyoto-hachijo/</x:v>
      </x:c>
      <x:c r="N43" s="50" t="str">
        <x:v>https://www.trip.com/hotels/kyoto-hotel-detail-737157/miyako-hotel-kyoto-hachijo/review.html</x:v>
      </x:c>
    </x:row>
    <x:row r="44">
      <x:c r="A44" s="15" t="str">
        <x:v>OLD_043</x:v>
      </x:c>
      <x:c r="B44" s="16" t="str">
        <x:v>Japan</x:v>
      </x:c>
      <x:c r="C44" s="16" t="str">
        <x:v>Kyoto</x:v>
      </x:c>
      <x:c r="D44" s="49" t="str">
        <x:v>Tennen Onsen Renka no Yu Onyado Nono Kyoto Shichijo</x:v>
      </x:c>
      <x:c r="E44" s="49" t="n">
        <x:v>4</x:v>
      </x:c>
      <x:c r="F44" s="49" t="str">
        <x:v>Yes</x:v>
      </x:c>
      <x:c r="G44" s="49" t="str">
        <x:v>공개 Trip.com 페이지/검색결과 기준 표기 없음</x:v>
      </x:c>
      <x:c r="H44" s="49" t="str">
        <x:v>유인 운영 정황 확인; 크롤링 전 1회 재확인 권장</x:v>
      </x:c>
      <x:c r="I44" s="49" t="str">
        <x:v>B</x:v>
      </x:c>
      <x:c r="J44" s="49" t="str">
        <x:v>SAME_CITY_POOL</x:v>
      </x:c>
      <x:c r="K44" s="49" t="str">
        <x:v>도시 일치 후보풀. Physical AI 호텔의 성급/가격 수집 후 최종 1:1 선택.</x:v>
      </x:c>
      <x:c r="L44" s="49" t="str">
        <x:v>https://www.trip.com/hotels/kyoto-hotel-detail-52661643/onyado-nono-kyotonanajyo-hot-springs/</x:v>
      </x:c>
      <x:c r="M44" s="49" t="str">
        <x:v>https://www.trip.com/hotels/kyoto-hotel-detail-52661643/onyado-nono-kyotonanajyo-hot-springs/</x:v>
      </x:c>
      <x:c r="N44" s="50" t="str">
        <x:v>https://www.trip.com/hotels/kyoto-hotel-detail-52661643/onyado-nono-kyotonanajyo-hot-springs/review.html</x:v>
      </x:c>
    </x:row>
    <x:row r="45">
      <x:c r="A45" s="15" t="str">
        <x:v>OLD_044</x:v>
      </x:c>
      <x:c r="B45" s="16" t="str">
        <x:v>Japan</x:v>
      </x:c>
      <x:c r="C45" s="16" t="str">
        <x:v>Kyoto</x:v>
      </x:c>
      <x:c r="D45" s="49" t="str">
        <x:v>Sotetsu Fresa Inn Kyoto-Shijokarasuma</x:v>
      </x:c>
      <x:c r="E45" s="49" t="n">
        <x:v>3</x:v>
      </x:c>
      <x:c r="F45" s="49" t="str">
        <x:v>Yes</x:v>
      </x:c>
      <x:c r="G45" s="49" t="str">
        <x:v>공개 Trip.com 페이지/검색결과 기준 표기 없음</x:v>
      </x:c>
      <x:c r="H45" s="49" t="str">
        <x:v>유인 운영 정황 확인; 크롤링 전 1회 재확인 권장</x:v>
      </x:c>
      <x:c r="I45" s="49" t="str">
        <x:v>B</x:v>
      </x:c>
      <x:c r="J45" s="49" t="str">
        <x:v>SAME_CITY_POOL</x:v>
      </x:c>
      <x:c r="K45" s="49" t="str">
        <x:v>도시 일치 후보풀. Physical AI 호텔의 성급/가격 수집 후 최종 1:1 선택.</x:v>
      </x:c>
      <x:c r="L45" s="49" t="str">
        <x:v>https://www.trip.com/hotels/kyoto-hotel-detail-6293684/sotetsu-fresa-inn-kyoto-shijokarasuma/</x:v>
      </x:c>
      <x:c r="M45" s="49" t="str">
        <x:v>https://www.trip.com/hotels/kyoto-hotel-detail-6293684/sotetsu-fresa-inn-kyoto-shijokarasuma/</x:v>
      </x:c>
      <x:c r="N45" s="50" t="str">
        <x:v>https://www.trip.com/hotels/kyoto-hotel-detail-6293684/sotetsu-fresa-inn-kyoto-shijokarasuma/review.html</x:v>
      </x:c>
    </x:row>
    <x:row r="46">
      <x:c r="A46" s="15" t="str">
        <x:v>OLD_045</x:v>
      </x:c>
      <x:c r="B46" s="16" t="str">
        <x:v>Japan</x:v>
      </x:c>
      <x:c r="C46" s="16" t="str">
        <x:v>Kyoto</x:v>
      </x:c>
      <x:c r="D46" s="49" t="str">
        <x:v>Hotel Glad One Kyoto Shichijo by M's</x:v>
      </x:c>
      <x:c r="E46" s="49" t="n">
        <x:v>3</x:v>
      </x:c>
      <x:c r="F46" s="49" t="str">
        <x:v>Yes</x:v>
      </x:c>
      <x:c r="G46" s="49" t="str">
        <x:v>공개 Trip.com 페이지/검색결과 기준 표기 없음</x:v>
      </x:c>
      <x:c r="H46" s="49" t="str">
        <x:v>유인 운영 정황 확인; 크롤링 전 1회 재확인 권장</x:v>
      </x:c>
      <x:c r="I46" s="49" t="str">
        <x:v>B</x:v>
      </x:c>
      <x:c r="J46" s="49" t="str">
        <x:v>SAME_CITY_POOL</x:v>
      </x:c>
      <x:c r="K46" s="49" t="str">
        <x:v>도시 일치 후보풀. Physical AI 호텔의 성급/가격 수집 후 최종 1:1 선택.</x:v>
      </x:c>
      <x:c r="L46" s="49" t="str">
        <x:v>https://www.trip.com/hotels/kyoto-hotel-detail-9826605/hotel-glad-one-kyoto-shichijo-by-m-s/</x:v>
      </x:c>
      <x:c r="M46" s="49" t="str">
        <x:v>https://www.trip.com/hotels/kyoto-hotel-detail-9826605/hotel-glad-one-kyoto-shichijo-by-m-s/</x:v>
      </x:c>
      <x:c r="N46" s="50" t="str">
        <x:v>https://www.trip.com/hotels/kyoto-hotel-detail-9826605/hotel-glad-one-kyoto-shichijo-by-m-s/review.html</x:v>
      </x:c>
    </x:row>
    <x:row r="47">
      <x:c r="A47" s="15" t="str">
        <x:v>OLD_046</x:v>
      </x:c>
      <x:c r="B47" s="16" t="str">
        <x:v>Japan</x:v>
      </x:c>
      <x:c r="C47" s="16" t="str">
        <x:v>Kyoto</x:v>
      </x:c>
      <x:c r="D47" s="49" t="str">
        <x:v>ATO Hotel Kyoto</x:v>
      </x:c>
      <x:c r="E47" s="49" t="n">
        <x:v>3</x:v>
      </x:c>
      <x:c r="F47" s="49" t="str">
        <x:v>Yes</x:v>
      </x:c>
      <x:c r="G47" s="49" t="str">
        <x:v>공개 Trip.com 페이지/검색결과 기준 표기 없음</x:v>
      </x:c>
      <x:c r="H47" s="49" t="str">
        <x:v>유인 운영 정황 확인; 크롤링 전 1회 재확인 권장</x:v>
      </x:c>
      <x:c r="I47" s="49" t="str">
        <x:v>B</x:v>
      </x:c>
      <x:c r="J47" s="49" t="str">
        <x:v>SAME_CITY_POOL</x:v>
      </x:c>
      <x:c r="K47" s="49" t="str">
        <x:v>도시 일치 후보풀. Physical AI 호텔의 성급/가격 수집 후 최종 1:1 선택.</x:v>
      </x:c>
      <x:c r="L47" s="49" t="str">
        <x:v>https://www.trip.com/hotels/kyoto-hotel-detail-9273053/ato-hotel-kyoto/</x:v>
      </x:c>
      <x:c r="M47" s="49" t="str">
        <x:v>https://www.trip.com/hotels/kyoto-hotel-detail-9273053/ato-hotel-kyoto/</x:v>
      </x:c>
      <x:c r="N47" s="50" t="str">
        <x:v>https://www.trip.com/hotels/kyoto-hotel-detail-9273053/ato-hotel-kyoto/review.html</x:v>
      </x:c>
    </x:row>
    <x:row r="48">
      <x:c r="A48" s="15" t="str">
        <x:v>OLD_047</x:v>
      </x:c>
      <x:c r="B48" s="16" t="str">
        <x:v>Japan</x:v>
      </x:c>
      <x:c r="C48" s="16" t="str">
        <x:v>Kyoto</x:v>
      </x:c>
      <x:c r="D48" s="49" t="str">
        <x:v>Agora Kyoto Karasuma</x:v>
      </x:c>
      <x:c r="E48" s="49" t="n">
        <x:v>4</x:v>
      </x:c>
      <x:c r="F48" s="49" t="str">
        <x:v>Yes</x:v>
      </x:c>
      <x:c r="G48" s="49" t="str">
        <x:v>공개 Trip.com 페이지/검색결과 기준 표기 없음</x:v>
      </x:c>
      <x:c r="H48" s="49" t="str">
        <x:v>유인 운영 정황 확인; 크롤링 전 1회 재확인 권장</x:v>
      </x:c>
      <x:c r="I48" s="49" t="str">
        <x:v>B</x:v>
      </x:c>
      <x:c r="J48" s="49" t="str">
        <x:v>SAME_CITY_POOL</x:v>
      </x:c>
      <x:c r="K48" s="49" t="str">
        <x:v>도시 일치 후보풀. Physical AI 호텔의 성급/가격 수집 후 최종 1:1 선택.</x:v>
      </x:c>
      <x:c r="L48" s="49" t="str">
        <x:v>https://www.trip.com/hotels/kyoto-hotel-detail-72560526/agora-kyoto-karasuma/</x:v>
      </x:c>
      <x:c r="M48" s="49" t="str">
        <x:v>https://www.trip.com/hotels/kyoto-hotel-detail-72560526/agora-kyoto-karasuma/</x:v>
      </x:c>
      <x:c r="N48" s="50" t="str">
        <x:v>https://www.trip.com/hotels/kyoto-hotel-detail-72560526/agora-kyoto-karasuma/review.html</x:v>
      </x:c>
    </x:row>
    <x:row r="49">
      <x:c r="A49" s="15" t="str">
        <x:v>OLD_048</x:v>
      </x:c>
      <x:c r="B49" s="16" t="str">
        <x:v>Japan</x:v>
      </x:c>
      <x:c r="C49" s="16" t="str">
        <x:v>Kyoto</x:v>
      </x:c>
      <x:c r="D49" s="49" t="str">
        <x:v>Sotetsu Fresa Inn Kyoto-Kiyomizu Gojo</x:v>
      </x:c>
      <x:c r="E49" s="49" t="n">
        <x:v>3</x:v>
      </x:c>
      <x:c r="F49" s="49" t="str">
        <x:v>Yes</x:v>
      </x:c>
      <x:c r="G49" s="49" t="str">
        <x:v>공개 Trip.com 페이지/검색결과 기준 표기 없음</x:v>
      </x:c>
      <x:c r="H49" s="49" t="str">
        <x:v>유인 운영 정황 확인; 크롤링 전 1회 재확인 권장</x:v>
      </x:c>
      <x:c r="I49" s="49" t="str">
        <x:v>B</x:v>
      </x:c>
      <x:c r="J49" s="49" t="str">
        <x:v>SAME_CITY_POOL</x:v>
      </x:c>
      <x:c r="K49" s="49" t="str">
        <x:v>도시 일치 후보풀. Physical AI 호텔의 성급/가격 수집 후 최종 1:1 선택.</x:v>
      </x:c>
      <x:c r="L49" s="49" t="str">
        <x:v>https://www.trip.com/hotels/kyoto-hotel-detail-82208465/sotetsu-fresa-inn-kyoto-kiyomizu-gojo/</x:v>
      </x:c>
      <x:c r="M49" s="49" t="str">
        <x:v>https://www.trip.com/hotels/kyoto-hotel-detail-82208465/sotetsu-fresa-inn-kyoto-kiyomizu-gojo/</x:v>
      </x:c>
      <x:c r="N49" s="50" t="str">
        <x:v>https://www.trip.com/hotels/kyoto-hotel-detail-82208465/sotetsu-fresa-inn-kyoto-kiyomizu-gojo/review.html</x:v>
      </x:c>
    </x:row>
    <x:row r="50">
      <x:c r="A50" s="15" t="str">
        <x:v>OLD_049</x:v>
      </x:c>
      <x:c r="B50" s="16" t="str">
        <x:v>Japan</x:v>
      </x:c>
      <x:c r="C50" s="16" t="str">
        <x:v>Kyoto</x:v>
      </x:c>
      <x:c r="D50" s="49" t="str">
        <x:v>Hearton Hotel Kyoto</x:v>
      </x:c>
      <x:c r="E50" s="49" t="n">
        <x:v>3</x:v>
      </x:c>
      <x:c r="F50" s="49" t="str">
        <x:v>Yes</x:v>
      </x:c>
      <x:c r="G50" s="49" t="str">
        <x:v>공개 Trip.com 페이지/검색결과 기준 표기 없음</x:v>
      </x:c>
      <x:c r="H50" s="49" t="str">
        <x:v>24h 프런트 명시 확인</x:v>
      </x:c>
      <x:c r="I50" s="49" t="str">
        <x:v>A</x:v>
      </x:c>
      <x:c r="J50" s="49" t="str">
        <x:v>SAME_CITY_POOL</x:v>
      </x:c>
      <x:c r="K50" s="49" t="str">
        <x:v>도시 일치 후보풀. Physical AI 호텔의 성급/가격 수집 후 최종 1:1 선택.</x:v>
      </x:c>
      <x:c r="L50" s="49" t="str">
        <x:v>https://www.trip.com/hotels/kyoto-hotel-detail-704864/hearton-hotel-kyoto/</x:v>
      </x:c>
      <x:c r="M50" s="49" t="str">
        <x:v>https://www.trip.com/hotels/kyoto-hotel-detail-704864/hearton-hotel-kyoto/</x:v>
      </x:c>
      <x:c r="N50" s="50" t="str">
        <x:v>https://www.trip.com/hotels/kyoto-hotel-detail-704864/hearton-hotel-kyoto/review.html</x:v>
      </x:c>
    </x:row>
    <x:row r="51">
      <x:c r="A51" s="15" t="str">
        <x:v>OLD_050</x:v>
      </x:c>
      <x:c r="B51" s="16" t="str">
        <x:v>Japan</x:v>
      </x:c>
      <x:c r="C51" s="16" t="str">
        <x:v>Kyoto</x:v>
      </x:c>
      <x:c r="D51" s="49" t="str">
        <x:v>Travelodge Kyoto Shijo Kawaramachi</x:v>
      </x:c>
      <x:c r="E51" s="49" t="n">
        <x:v>3</x:v>
      </x:c>
      <x:c r="F51" s="49" t="str">
        <x:v>Yes</x:v>
      </x:c>
      <x:c r="G51" s="49" t="str">
        <x:v>공개 Trip.com 페이지/검색결과 기준 표기 없음</x:v>
      </x:c>
      <x:c r="H51" s="49" t="str">
        <x:v>유인 운영 정황 확인; 크롤링 전 1회 재확인 권장</x:v>
      </x:c>
      <x:c r="I51" s="49" t="str">
        <x:v>B</x:v>
      </x:c>
      <x:c r="J51" s="49" t="str">
        <x:v>SAME_CITY_POOL</x:v>
      </x:c>
      <x:c r="K51" s="49" t="str">
        <x:v>도시 일치 후보풀. Physical AI 호텔의 성급/가격 수집 후 최종 1:1 선택.</x:v>
      </x:c>
      <x:c r="L51" s="49" t="str">
        <x:v>https://www.trip.com/hotels/kyoto-hotel-detail-102999586/travelodge-kyoto-shijo-kawaramachi/</x:v>
      </x:c>
      <x:c r="M51" s="49" t="str">
        <x:v>https://www.trip.com/hotels/kyoto-hotel-detail-102999586/travelodge-kyoto-shijo-kawaramachi/</x:v>
      </x:c>
      <x:c r="N51" s="50" t="str">
        <x:v>https://www.trip.com/hotels/kyoto-hotel-detail-102999586/travelodge-kyoto-shijo-kawaramachi/review.html</x:v>
      </x:c>
    </x:row>
    <x:row r="52">
      <x:c r="A52" s="15" t="str">
        <x:v>OLD_051</x:v>
      </x:c>
      <x:c r="B52" s="16" t="str">
        <x:v>Japan</x:v>
      </x:c>
      <x:c r="C52" s="16" t="str">
        <x:v>Nara</x:v>
      </x:c>
      <x:c r="D52" s="49" t="str">
        <x:v>Onyado Nono Nara Natural Hot Spring</x:v>
      </x:c>
      <x:c r="E52" s="49" t="n">
        <x:v>4</x:v>
      </x:c>
      <x:c r="F52" s="49" t="str">
        <x:v>Yes</x:v>
      </x:c>
      <x:c r="G52" s="49" t="str">
        <x:v>공개 Trip.com 페이지/검색결과 기준 표기 없음</x:v>
      </x:c>
      <x:c r="H52" s="49" t="str">
        <x:v>유인 운영 정황 확인; 크롤링 전 1회 재확인 권장</x:v>
      </x:c>
      <x:c r="I52" s="49" t="str">
        <x:v>B</x:v>
      </x:c>
      <x:c r="J52" s="49" t="str">
        <x:v>SPARE_NOT_SAME_CITY</x:v>
      </x:c>
      <x:c r="K52" s="49" t="str">
        <x:v>현재 최종 Physical AI 도시와 불일치하여 예비 후보로만 보관.</x:v>
      </x:c>
      <x:c r="L52" s="49" t="str">
        <x:v>https://www.trip.com/hotels/nara-hotel-detail-9788198/onyado-nono-nara-natural-hot-spring/</x:v>
      </x:c>
      <x:c r="M52" s="49" t="str">
        <x:v>https://www.trip.com/hotels/nara-hotel-detail-9788198/onyado-nono-nara-natural-hot-spring/</x:v>
      </x:c>
      <x:c r="N52" s="50" t="str">
        <x:v>https://www.trip.com/hotels/nara-hotel-detail-9788198/onyado-nono-nara-natural-hot-spring/review.html</x:v>
      </x:c>
    </x:row>
    <x:row r="53">
      <x:c r="A53" s="15" t="str">
        <x:v>OLD_052</x:v>
      </x:c>
      <x:c r="B53" s="16" t="str">
        <x:v>Japan</x:v>
      </x:c>
      <x:c r="C53" s="16" t="str">
        <x:v>Nara</x:v>
      </x:c>
      <x:c r="D53" s="49" t="str">
        <x:v>Asukasou Nara</x:v>
      </x:c>
      <x:c r="E53" s="49" t="n">
        <x:v>4</x:v>
      </x:c>
      <x:c r="F53" s="49" t="str">
        <x:v>Yes</x:v>
      </x:c>
      <x:c r="G53" s="49" t="str">
        <x:v>공개 Trip.com 페이지/검색결과 기준 표기 없음</x:v>
      </x:c>
      <x:c r="H53" s="49" t="str">
        <x:v>유인 운영 정황 확인; 크롤링 전 1회 재확인 권장</x:v>
      </x:c>
      <x:c r="I53" s="49" t="str">
        <x:v>B</x:v>
      </x:c>
      <x:c r="J53" s="49" t="str">
        <x:v>SPARE_NOT_SAME_CITY</x:v>
      </x:c>
      <x:c r="K53" s="49" t="str">
        <x:v>현재 최종 Physical AI 도시와 불일치하여 예비 후보로만 보관.</x:v>
      </x:c>
      <x:c r="L53" s="49" t="str">
        <x:v>https://www.trip.com/hotels/nara-hotel-detail-705826/asukasou-nara/</x:v>
      </x:c>
      <x:c r="M53" s="49" t="str">
        <x:v>https://www.trip.com/hotels/nara-hotel-detail-705826/asukasou-nara/</x:v>
      </x:c>
      <x:c r="N53" s="50" t="str">
        <x:v>https://www.trip.com/hotels/nara-hotel-detail-705826/asukasou-nara/review.html</x:v>
      </x:c>
    </x:row>
    <x:row r="54">
      <x:c r="A54" s="15" t="str">
        <x:v>OLD_053</x:v>
      </x:c>
      <x:c r="B54" s="16" t="str">
        <x:v>Japan</x:v>
      </x:c>
      <x:c r="C54" s="16" t="str">
        <x:v>Nara</x:v>
      </x:c>
      <x:c r="D54" s="49" t="str">
        <x:v>Piazza Hotel Nara</x:v>
      </x:c>
      <x:c r="E54" s="49" t="n">
        <x:v>4</x:v>
      </x:c>
      <x:c r="F54" s="49" t="str">
        <x:v>Yes</x:v>
      </x:c>
      <x:c r="G54" s="49" t="str">
        <x:v>공개 Trip.com 페이지/검색결과 기준 표기 없음</x:v>
      </x:c>
      <x:c r="H54" s="49" t="str">
        <x:v>유인 운영 정황 확인; 크롤링 전 1회 재확인 권장</x:v>
      </x:c>
      <x:c r="I54" s="49" t="str">
        <x:v>B</x:v>
      </x:c>
      <x:c r="J54" s="49" t="str">
        <x:v>SPARE_NOT_SAME_CITY</x:v>
      </x:c>
      <x:c r="K54" s="49" t="str">
        <x:v>현재 최종 Physical AI 도시와 불일치하여 예비 후보로만 보관.</x:v>
      </x:c>
      <x:c r="L54" s="49" t="str">
        <x:v>https://www.trip.com/hotels/nara-hotel-detail-9028312/piazza-hotel-nara/</x:v>
      </x:c>
      <x:c r="M54" s="49" t="str">
        <x:v>https://www.trip.com/hotels/nara-hotel-detail-9028312/piazza-hotel-nara/</x:v>
      </x:c>
      <x:c r="N54" s="50" t="str">
        <x:v>https://www.trip.com/hotels/nara-hotel-detail-9028312/piazza-hotel-nara/review.html</x:v>
      </x:c>
    </x:row>
    <x:row r="55">
      <x:c r="A55" s="15" t="str">
        <x:v>OLD_054</x:v>
      </x:c>
      <x:c r="B55" s="16" t="str">
        <x:v>Japan</x:v>
      </x:c>
      <x:c r="C55" s="16" t="str">
        <x:v>Nara</x:v>
      </x:c>
      <x:c r="D55" s="49" t="str">
        <x:v>Daiwa Roynet Hotel Nara Natural Hot Spring</x:v>
      </x:c>
      <x:c r="E55" s="49" t="n">
        <x:v>4</x:v>
      </x:c>
      <x:c r="F55" s="49" t="str">
        <x:v>Yes</x:v>
      </x:c>
      <x:c r="G55" s="49" t="str">
        <x:v>공개 Trip.com 페이지/검색결과 기준 표기 없음</x:v>
      </x:c>
      <x:c r="H55" s="49" t="str">
        <x:v>유인 운영 정황 확인; 크롤링 전 1회 재확인 권장</x:v>
      </x:c>
      <x:c r="I55" s="49" t="str">
        <x:v>B</x:v>
      </x:c>
      <x:c r="J55" s="49" t="str">
        <x:v>SPARE_NOT_SAME_CITY</x:v>
      </x:c>
      <x:c r="K55" s="49" t="str">
        <x:v>현재 최종 Physical AI 도시와 불일치하여 예비 후보로만 보관.</x:v>
      </x:c>
      <x:c r="L55" s="49" t="str">
        <x:v>https://www.trip.com/hotels/nara-hotel-detail-39457895/daiwaroyalhotel-d-premium-nara/</x:v>
      </x:c>
      <x:c r="M55" s="49" t="str">
        <x:v>https://www.trip.com/hotels/nara-hotel-detail-39457895/daiwaroyalhotel-d-premium-nara/</x:v>
      </x:c>
      <x:c r="N55" s="50" t="str">
        <x:v>https://www.trip.com/hotels/nara-hotel-detail-39457895/daiwaroyalhotel-d-premium-nara/review.html</x:v>
      </x:c>
    </x:row>
    <x:row r="56">
      <x:c r="A56" s="15" t="str">
        <x:v>OLD_055</x:v>
      </x:c>
      <x:c r="B56" s="16" t="str">
        <x:v>Japan</x:v>
      </x:c>
      <x:c r="C56" s="16" t="str">
        <x:v>Nara</x:v>
      </x:c>
      <x:c r="D56" s="49" t="str">
        <x:v>Kanko Hotel Tamaru</x:v>
      </x:c>
      <x:c r="E56" s="49" t="n">
        <x:v>3</x:v>
      </x:c>
      <x:c r="F56" s="49" t="str">
        <x:v>Yes</x:v>
      </x:c>
      <x:c r="G56" s="49" t="str">
        <x:v>공개 Trip.com 페이지/검색결과 기준 표기 없음</x:v>
      </x:c>
      <x:c r="H56" s="49" t="str">
        <x:v>유인 운영 정황 확인; 크롤링 전 1회 재확인 권장</x:v>
      </x:c>
      <x:c r="I56" s="49" t="str">
        <x:v>B</x:v>
      </x:c>
      <x:c r="J56" s="49" t="str">
        <x:v>SPARE_NOT_SAME_CITY</x:v>
      </x:c>
      <x:c r="K56" s="49" t="str">
        <x:v>현재 최종 Physical AI 도시와 불일치하여 예비 후보로만 보관.</x:v>
      </x:c>
      <x:c r="L56" s="49" t="str">
        <x:v>https://www.trip.com/hotels/nara-hotel-detail-1655649/kanko-hotel-tamaru/</x:v>
      </x:c>
      <x:c r="M56" s="49" t="str">
        <x:v>https://www.trip.com/hotels/nara-hotel-detail-1655649/kanko-hotel-tamaru/</x:v>
      </x:c>
      <x:c r="N56" s="50" t="str">
        <x:v>https://www.trip.com/hotels/nara-hotel-detail-1655649/kanko-hotel-tamaru/review.html</x:v>
      </x:c>
    </x:row>
    <x:row r="57">
      <x:c r="A57" s="15" t="str">
        <x:v>OLD_056</x:v>
      </x:c>
      <x:c r="B57" s="16" t="str">
        <x:v>Japan</x:v>
      </x:c>
      <x:c r="C57" s="16" t="str">
        <x:v>Nara</x:v>
      </x:c>
      <x:c r="D57" s="49" t="str">
        <x:v>Comfort Hotel Nara</x:v>
      </x:c>
      <x:c r="E57" s="49" t="n">
        <x:v>3</x:v>
      </x:c>
      <x:c r="F57" s="49" t="str">
        <x:v>Yes</x:v>
      </x:c>
      <x:c r="G57" s="49" t="str">
        <x:v>공개 Trip.com 페이지/검색결과 기준 표기 없음</x:v>
      </x:c>
      <x:c r="H57" s="49" t="str">
        <x:v>24h 프런트 명시 확인</x:v>
      </x:c>
      <x:c r="I57" s="49" t="str">
        <x:v>A</x:v>
      </x:c>
      <x:c r="J57" s="49" t="str">
        <x:v>SPARE_NOT_SAME_CITY</x:v>
      </x:c>
      <x:c r="K57" s="49" t="str">
        <x:v>현재 최종 Physical AI 도시와 불일치하여 예비 후보로만 보관.</x:v>
      </x:c>
      <x:c r="L57" s="49" t="str">
        <x:v>https://www.trip.com/hotels/nara-hotel-detail-1489023/comfort-hotel-nara/</x:v>
      </x:c>
      <x:c r="M57" s="49" t="str">
        <x:v>https://www.trip.com/hotels/nara-hotel-detail-1489023/comfort-hotel-nara/</x:v>
      </x:c>
      <x:c r="N57" s="50" t="str">
        <x:v>https://www.trip.com/hotels/nara-hotel-detail-1489023/comfort-hotel-nara/review.html</x:v>
      </x:c>
    </x:row>
    <x:row r="58">
      <x:c r="A58" s="15" t="str">
        <x:v>OLD_057</x:v>
      </x:c>
      <x:c r="B58" s="16" t="str">
        <x:v>Japan</x:v>
      </x:c>
      <x:c r="C58" s="16" t="str">
        <x:v>Nagoya</x:v>
      </x:c>
      <x:c r="D58" s="49" t="str">
        <x:v>Nagoya Crown Hotel</x:v>
      </x:c>
      <x:c r="E58" s="49" t="n">
        <x:v>3</x:v>
      </x:c>
      <x:c r="F58" s="49" t="str">
        <x:v>Yes</x:v>
      </x:c>
      <x:c r="G58" s="49" t="str">
        <x:v>공개 Trip.com 페이지/검색결과 기준 표기 없음</x:v>
      </x:c>
      <x:c r="H58" s="49" t="str">
        <x:v>유인 운영 정황 확인; 크롤링 전 1회 재확인 권장</x:v>
      </x:c>
      <x:c r="I58" s="49" t="str">
        <x:v>B</x:v>
      </x:c>
      <x:c r="J58" s="49" t="str">
        <x:v>SPARE_NOT_SAME_CITY</x:v>
      </x:c>
      <x:c r="K58" s="49" t="str">
        <x:v>현재 최종 Physical AI 도시와 불일치하여 예비 후보로만 보관.</x:v>
      </x:c>
      <x:c r="L58" s="49" t="str">
        <x:v>https://www.trip.com/hotels/nagoya-hotel-detail-1182146/nagoya-crown-hotel/</x:v>
      </x:c>
      <x:c r="M58" s="49" t="str">
        <x:v>https://www.trip.com/hotels/nagoya-hotel-detail-1182146/nagoya-crown-hotel/</x:v>
      </x:c>
      <x:c r="N58" s="50" t="str">
        <x:v>https://www.trip.com/hotels/nagoya-hotel-detail-1182146/nagoya-crown-hotel/review.html</x:v>
      </x:c>
    </x:row>
    <x:row r="59">
      <x:c r="A59" s="15" t="str">
        <x:v>OLD_058</x:v>
      </x:c>
      <x:c r="B59" s="16" t="str">
        <x:v>Japan</x:v>
      </x:c>
      <x:c r="C59" s="16" t="str">
        <x:v>Nagoya</x:v>
      </x:c>
      <x:c r="D59" s="49" t="str">
        <x:v>Smile Hotel Nagoya Sakae</x:v>
      </x:c>
      <x:c r="E59" s="49" t="n">
        <x:v>3</x:v>
      </x:c>
      <x:c r="F59" s="49" t="str">
        <x:v>Yes</x:v>
      </x:c>
      <x:c r="G59" s="49" t="str">
        <x:v>공개 Trip.com 페이지/검색결과 기준 표기 없음</x:v>
      </x:c>
      <x:c r="H59" s="49" t="str">
        <x:v>유인 운영 정황 확인; 크롤링 전 1회 재확인 권장</x:v>
      </x:c>
      <x:c r="I59" s="49" t="str">
        <x:v>B</x:v>
      </x:c>
      <x:c r="J59" s="49" t="str">
        <x:v>SPARE_NOT_SAME_CITY</x:v>
      </x:c>
      <x:c r="K59" s="49" t="str">
        <x:v>현재 최종 Physical AI 도시와 불일치하여 예비 후보로만 보관.</x:v>
      </x:c>
      <x:c r="L59" s="49" t="str">
        <x:v>https://www.trip.com/hotels/nagoya-hotel-detail-5708493/smile-hotel-nagoya-sakae/</x:v>
      </x:c>
      <x:c r="M59" s="49" t="str">
        <x:v>https://www.trip.com/hotels/nagoya-hotel-detail-5708493/smile-hotel-nagoya-sakae/</x:v>
      </x:c>
      <x:c r="N59" s="50" t="str">
        <x:v>https://www.trip.com/hotels/nagoya-hotel-detail-5708493/smile-hotel-nagoya-sakae/review.html</x:v>
      </x:c>
    </x:row>
    <x:row r="60">
      <x:c r="A60" s="15" t="str">
        <x:v>OLD_059</x:v>
      </x:c>
      <x:c r="B60" s="16" t="str">
        <x:v>Japan</x:v>
      </x:c>
      <x:c r="C60" s="16" t="str">
        <x:v>Nagoya</x:v>
      </x:c>
      <x:c r="D60" s="49" t="str">
        <x:v>BASE LAYER HOTEL NAGOYA NISHIKI</x:v>
      </x:c>
      <x:c r="E60" s="49" t="n">
        <x:v>3</x:v>
      </x:c>
      <x:c r="F60" s="49" t="str">
        <x:v>Yes</x:v>
      </x:c>
      <x:c r="G60" s="49" t="str">
        <x:v>공개 Trip.com 페이지/검색결과 기준 표기 없음</x:v>
      </x:c>
      <x:c r="H60" s="49" t="str">
        <x:v>유인 운영 정황 확인; 크롤링 전 1회 재확인 권장</x:v>
      </x:c>
      <x:c r="I60" s="49" t="str">
        <x:v>B</x:v>
      </x:c>
      <x:c r="J60" s="49" t="str">
        <x:v>SPARE_NOT_SAME_CITY</x:v>
      </x:c>
      <x:c r="K60" s="49" t="str">
        <x:v>현재 최종 Physical AI 도시와 불일치하여 예비 후보로만 보관.</x:v>
      </x:c>
      <x:c r="L60" s="49" t="str">
        <x:v>https://www.trip.com/hotels/nagoya-hotel-detail-127002257/base-layer-hotel-nagoya-nishiki/</x:v>
      </x:c>
      <x:c r="M60" s="49" t="str">
        <x:v>https://www.trip.com/hotels/nagoya-hotel-detail-127002257/base-layer-hotel-nagoya-nishiki/</x:v>
      </x:c>
      <x:c r="N60" s="50" t="str">
        <x:v>https://www.trip.com/hotels/nagoya-hotel-detail-127002257/base-layer-hotel-nagoya-nishiki/review.html</x:v>
      </x:c>
    </x:row>
    <x:row r="61">
      <x:c r="A61" s="15" t="str">
        <x:v>OLD_060</x:v>
      </x:c>
      <x:c r="B61" s="16" t="str">
        <x:v>Japan</x:v>
      </x:c>
      <x:c r="C61" s="16" t="str">
        <x:v>Nagoya</x:v>
      </x:c>
      <x:c r="D61" s="49" t="str">
        <x:v>The Royal Park Hotel Iconic Nagoya</x:v>
      </x:c>
      <x:c r="E61" s="49" t="n">
        <x:v>4</x:v>
      </x:c>
      <x:c r="F61" s="49" t="str">
        <x:v>Yes</x:v>
      </x:c>
      <x:c r="G61" s="49" t="str">
        <x:v>공개 Trip.com 페이지/검색결과 기준 표기 없음</x:v>
      </x:c>
      <x:c r="H61" s="49" t="str">
        <x:v>유인 운영 정황 확인; 크롤링 전 1회 재확인 권장</x:v>
      </x:c>
      <x:c r="I61" s="49" t="str">
        <x:v>B</x:v>
      </x:c>
      <x:c r="J61" s="49" t="str">
        <x:v>SPARE_NOT_SAME_CITY</x:v>
      </x:c>
      <x:c r="K61" s="49" t="str">
        <x:v>현재 최종 Physical AI 도시와 불일치하여 예비 후보로만 보관.</x:v>
      </x:c>
      <x:c r="L61" s="49" t="str">
        <x:v>https://www.trip.com/hotels/nagoya-hotel-detail-109048419/the-royal-park-hotel-iconic-nagoya/</x:v>
      </x:c>
      <x:c r="M61" s="49" t="str">
        <x:v>https://www.trip.com/hotels/nagoya-hotel-detail-109048419/the-royal-park-hotel-iconic-nagoya/</x:v>
      </x:c>
      <x:c r="N61" s="50" t="str">
        <x:v>https://www.trip.com/hotels/nagoya-hotel-detail-109048419/the-royal-park-hotel-iconic-nagoya/review.html</x:v>
      </x:c>
    </x:row>
    <x:row r="62">
      <x:c r="A62" s="15" t="str">
        <x:v>OLD_061</x:v>
      </x:c>
      <x:c r="B62" s="16" t="str">
        <x:v>Japan</x:v>
      </x:c>
      <x:c r="C62" s="16" t="str">
        <x:v>Nagoya</x:v>
      </x:c>
      <x:c r="D62" s="49" t="str">
        <x:v>Washington R&amp;B Hotel Nagoya Nishiki</x:v>
      </x:c>
      <x:c r="E62" s="49" t="n">
        <x:v>3</x:v>
      </x:c>
      <x:c r="F62" s="49" t="str">
        <x:v>Yes</x:v>
      </x:c>
      <x:c r="G62" s="49" t="str">
        <x:v>공개 Trip.com 페이지/검색결과 기준 표기 없음</x:v>
      </x:c>
      <x:c r="H62" s="49" t="str">
        <x:v>유인 운영 정황 확인; 크롤링 전 1회 재확인 권장</x:v>
      </x:c>
      <x:c r="I62" s="49" t="str">
        <x:v>B</x:v>
      </x:c>
      <x:c r="J62" s="49" t="str">
        <x:v>SPARE_NOT_SAME_CITY</x:v>
      </x:c>
      <x:c r="K62" s="49" t="str">
        <x:v>현재 최종 Physical AI 도시와 불일치하여 예비 후보로만 보관.</x:v>
      </x:c>
      <x:c r="L62" s="49" t="str">
        <x:v>https://www.trip.com/hotels/nagoya-hotel-detail-1182065/washington-rb-hotel-nagoya-nishiki/</x:v>
      </x:c>
      <x:c r="M62" s="49" t="str">
        <x:v>https://www.trip.com/hotels/nagoya-hotel-detail-1182065/washington-rb-hotel-nagoya-nishiki/</x:v>
      </x:c>
      <x:c r="N62" s="50" t="str">
        <x:v>https://www.trip.com/hotels/nagoya-hotel-detail-1182065/washington-rb-hotel-nagoya-nishiki/review.html</x:v>
      </x:c>
    </x:row>
    <x:row r="63">
      <x:c r="A63" s="15" t="str">
        <x:v>OLD_062</x:v>
      </x:c>
      <x:c r="B63" s="16" t="str">
        <x:v>Japan</x:v>
      </x:c>
      <x:c r="C63" s="16" t="str">
        <x:v>Nagoya</x:v>
      </x:c>
      <x:c r="D63" s="49" t="str">
        <x:v>Comfort Hotel Nagoya Fushimi</x:v>
      </x:c>
      <x:c r="E63" s="49" t="n">
        <x:v>3</x:v>
      </x:c>
      <x:c r="F63" s="49" t="str">
        <x:v>Yes</x:v>
      </x:c>
      <x:c r="G63" s="49" t="str">
        <x:v>공개 Trip.com 페이지/검색결과 기준 표기 없음</x:v>
      </x:c>
      <x:c r="H63" s="49" t="str">
        <x:v>유인 운영 정황 확인; 크롤링 전 1회 재확인 권장</x:v>
      </x:c>
      <x:c r="I63" s="49" t="str">
        <x:v>B</x:v>
      </x:c>
      <x:c r="J63" s="49" t="str">
        <x:v>SPARE_NOT_SAME_CITY</x:v>
      </x:c>
      <x:c r="K63" s="49" t="str">
        <x:v>현재 최종 Physical AI 도시와 불일치하여 예비 후보로만 보관.</x:v>
      </x:c>
      <x:c r="L63" s="49" t="str">
        <x:v>https://www.trip.com/hotels/nagoya-hotel-detail-17448116/comfort-hotel-nagoya-fushimi/</x:v>
      </x:c>
      <x:c r="M63" s="49" t="str">
        <x:v>https://www.trip.com/hotels/nagoya-hotel-detail-17448116/comfort-hotel-nagoya-fushimi/</x:v>
      </x:c>
      <x:c r="N63" s="50" t="str">
        <x:v>https://www.trip.com/hotels/nagoya-hotel-detail-17448116/comfort-hotel-nagoya-fushimi/review.html</x:v>
      </x:c>
    </x:row>
    <x:row r="64">
      <x:c r="A64" s="15" t="str">
        <x:v>OLD_063</x:v>
      </x:c>
      <x:c r="B64" s="16" t="str">
        <x:v>Japan</x:v>
      </x:c>
      <x:c r="C64" s="16" t="str">
        <x:v>Nagoya</x:v>
      </x:c>
      <x:c r="D64" s="49" t="str">
        <x:v>Nishitetsu Hotel Croom Nagoya</x:v>
      </x:c>
      <x:c r="E64" s="49" t="n">
        <x:v>4</x:v>
      </x:c>
      <x:c r="F64" s="49" t="str">
        <x:v>Yes</x:v>
      </x:c>
      <x:c r="G64" s="49" t="str">
        <x:v>공개 Trip.com 페이지/검색결과 기준 표기 없음</x:v>
      </x:c>
      <x:c r="H64" s="49" t="str">
        <x:v>유인 운영 정황 확인; 크롤링 전 1회 재확인 권장</x:v>
      </x:c>
      <x:c r="I64" s="49" t="str">
        <x:v>B</x:v>
      </x:c>
      <x:c r="J64" s="49" t="str">
        <x:v>SPARE_NOT_SAME_CITY</x:v>
      </x:c>
      <x:c r="K64" s="49" t="str">
        <x:v>현재 최종 Physical AI 도시와 불일치하여 예비 후보로만 보관.</x:v>
      </x:c>
      <x:c r="L64" s="49" t="str">
        <x:v>https://www.trip.com/hotels/nagoya-hotel-detail-23209885/nishitetsu-hotel-croom-nagoya/</x:v>
      </x:c>
      <x:c r="M64" s="49" t="str">
        <x:v>https://www.trip.com/hotels/nagoya-hotel-detail-23209885/nishitetsu-hotel-croom-nagoya/</x:v>
      </x:c>
      <x:c r="N64" s="50" t="str">
        <x:v>https://www.trip.com/hotels/nagoya-hotel-detail-23209885/nishitetsu-hotel-croom-nagoya/review.html</x:v>
      </x:c>
    </x:row>
    <x:row r="65">
      <x:c r="A65" s="15" t="str">
        <x:v>OLD_064</x:v>
      </x:c>
      <x:c r="B65" s="16" t="str">
        <x:v>Japan</x:v>
      </x:c>
      <x:c r="C65" s="16" t="str">
        <x:v>Nagoya</x:v>
      </x:c>
      <x:c r="D65" s="49" t="str">
        <x:v>Hotel JAL City Nagoya Nishiki</x:v>
      </x:c>
      <x:c r="E65" s="49" t="n">
        <x:v>4</x:v>
      </x:c>
      <x:c r="F65" s="49" t="str">
        <x:v>Yes</x:v>
      </x:c>
      <x:c r="G65" s="49" t="str">
        <x:v>공개 Trip.com 페이지/검색결과 기준 표기 없음</x:v>
      </x:c>
      <x:c r="H65" s="49" t="str">
        <x:v>유인 운영 정황 확인; 크롤링 전 1회 재확인 권장</x:v>
      </x:c>
      <x:c r="I65" s="49" t="str">
        <x:v>B</x:v>
      </x:c>
      <x:c r="J65" s="49" t="str">
        <x:v>SPARE_NOT_SAME_CITY</x:v>
      </x:c>
      <x:c r="K65" s="49" t="str">
        <x:v>현재 최종 Physical AI 도시와 불일치하여 예비 후보로만 보관.</x:v>
      </x:c>
      <x:c r="L65" s="49" t="str">
        <x:v>https://www.trip.com/hotels/nagoya-hotel-detail-25195212/hotel-jal-city-nagoya-nishiki/</x:v>
      </x:c>
      <x:c r="M65" s="49" t="str">
        <x:v>https://www.trip.com/hotels/nagoya-hotel-detail-25195212/hotel-jal-city-nagoya-nishiki/</x:v>
      </x:c>
      <x:c r="N65" s="50" t="str">
        <x:v>https://www.trip.com/hotels/nagoya-hotel-detail-25195212/hotel-jal-city-nagoya-nishiki/review.html</x:v>
      </x:c>
    </x:row>
    <x:row r="66">
      <x:c r="A66" s="15" t="str">
        <x:v>OLD_065</x:v>
      </x:c>
      <x:c r="B66" s="16" t="str">
        <x:v>Japan</x:v>
      </x:c>
      <x:c r="C66" s="16" t="str">
        <x:v>Fukuoka</x:v>
      </x:c>
      <x:c r="D66" s="49" t="str">
        <x:v>Mitsui Garden Hotel Fukuoka Nakasu</x:v>
      </x:c>
      <x:c r="E66" s="49" t="n">
        <x:v>4</x:v>
      </x:c>
      <x:c r="F66" s="49" t="str">
        <x:v>Yes</x:v>
      </x:c>
      <x:c r="G66" s="49" t="str">
        <x:v>공개 Trip.com 페이지/검색결과 기준 표기 없음</x:v>
      </x:c>
      <x:c r="H66" s="49" t="str">
        <x:v>유인 운영 정황 확인; 크롤링 전 1회 재확인 권장</x:v>
      </x:c>
      <x:c r="I66" s="49" t="str">
        <x:v>B</x:v>
      </x:c>
      <x:c r="J66" s="49" t="str">
        <x:v>SAME_CITY_POOL</x:v>
      </x:c>
      <x:c r="K66" s="49" t="str">
        <x:v>도시 일치 후보풀. Physical AI 호텔의 성급/가격 수집 후 최종 1:1 선택.</x:v>
      </x:c>
      <x:c r="L66" s="49" t="str">
        <x:v>https://www.trip.com/hotels/fukuoka-hotel-detail-56699615/mitsui-garden-hotel-fukuoka-nakasu/</x:v>
      </x:c>
      <x:c r="M66" s="49" t="str">
        <x:v>https://www.trip.com/hotels/fukuoka-hotel-detail-56699615/mitsui-garden-hotel-fukuoka-nakasu/</x:v>
      </x:c>
      <x:c r="N66" s="50" t="str">
        <x:v>https://www.trip.com/hotels/fukuoka-hotel-detail-56699615/mitsui-garden-hotel-fukuoka-nakasu/review.html</x:v>
      </x:c>
    </x:row>
    <x:row r="67">
      <x:c r="A67" s="15" t="str">
        <x:v>OLD_066</x:v>
      </x:c>
      <x:c r="B67" s="16" t="str">
        <x:v>Japan</x:v>
      </x:c>
      <x:c r="C67" s="16" t="str">
        <x:v>Fukuoka</x:v>
      </x:c>
      <x:c r="D67" s="49" t="str">
        <x:v>EN HOTEL Hakata</x:v>
      </x:c>
      <x:c r="E67" s="49" t="n">
        <x:v>3</x:v>
      </x:c>
      <x:c r="F67" s="49" t="str">
        <x:v>Yes</x:v>
      </x:c>
      <x:c r="G67" s="49" t="str">
        <x:v>공개 Trip.com 페이지/검색결과 기준 표기 없음</x:v>
      </x:c>
      <x:c r="H67" s="49" t="str">
        <x:v>유인 운영 정황 확인; 크롤링 전 1회 재확인 권장</x:v>
      </x:c>
      <x:c r="I67" s="49" t="str">
        <x:v>B</x:v>
      </x:c>
      <x:c r="J67" s="49" t="str">
        <x:v>SAME_CITY_POOL</x:v>
      </x:c>
      <x:c r="K67" s="49" t="str">
        <x:v>도시 일치 후보풀. Physical AI 호텔의 성급/가격 수집 후 최종 1:1 선택.</x:v>
      </x:c>
      <x:c r="L67" s="49" t="str">
        <x:v>https://www.trip.com/hotels/fukuoka-hotel-detail-705531/court-hotel-hakata-ekimae/</x:v>
      </x:c>
      <x:c r="M67" s="49" t="str">
        <x:v>https://www.trip.com/hotels/fukuoka-hotel-detail-705531/court-hotel-hakata-ekimae/</x:v>
      </x:c>
      <x:c r="N67" s="50" t="str">
        <x:v>https://www.trip.com/hotels/fukuoka-hotel-detail-705531/court-hotel-hakata-ekimae/review.html</x:v>
      </x:c>
    </x:row>
    <x:row r="68">
      <x:c r="A68" s="15" t="str">
        <x:v>OLD_067</x:v>
      </x:c>
      <x:c r="B68" s="16" t="str">
        <x:v>Japan</x:v>
      </x:c>
      <x:c r="C68" s="16" t="str">
        <x:v>Fukuoka</x:v>
      </x:c>
      <x:c r="D68" s="49" t="str">
        <x:v>Cross Life Hakata Tenjin</x:v>
      </x:c>
      <x:c r="E68" s="49" t="n">
        <x:v>3</x:v>
      </x:c>
      <x:c r="F68" s="49" t="str">
        <x:v>Yes</x:v>
      </x:c>
      <x:c r="G68" s="49" t="str">
        <x:v>공개 Trip.com 페이지/검색결과 기준 표기 없음</x:v>
      </x:c>
      <x:c r="H68" s="49" t="str">
        <x:v>유인 운영 정황 확인; 크롤링 전 1회 재확인 권장</x:v>
      </x:c>
      <x:c r="I68" s="49" t="str">
        <x:v>B</x:v>
      </x:c>
      <x:c r="J68" s="49" t="str">
        <x:v>SAME_CITY_POOL</x:v>
      </x:c>
      <x:c r="K68" s="49" t="str">
        <x:v>도시 일치 후보풀. Physical AI 호텔의 성급/가격 수집 후 최종 1:1 선택.</x:v>
      </x:c>
      <x:c r="L68" s="49" t="str">
        <x:v>https://www.trip.com/hotels/fukuoka-hotel-detail-96263095/cross-life-hakata-tenjin/</x:v>
      </x:c>
      <x:c r="M68" s="49" t="str">
        <x:v>https://www.trip.com/hotels/fukuoka-hotel-detail-96263095/cross-life-hakata-tenjin/</x:v>
      </x:c>
      <x:c r="N68" s="50" t="str">
        <x:v>https://www.trip.com/hotels/fukuoka-hotel-detail-96263095/cross-life-hakata-tenjin/review.html</x:v>
      </x:c>
    </x:row>
    <x:row r="69">
      <x:c r="A69" s="15" t="str">
        <x:v>OLD_068</x:v>
      </x:c>
      <x:c r="B69" s="16" t="str">
        <x:v>Japan</x:v>
      </x:c>
      <x:c r="C69" s="16" t="str">
        <x:v>Fukuoka</x:v>
      </x:c>
      <x:c r="D69" s="49" t="str">
        <x:v>The Basics Fukuoka</x:v>
      </x:c>
      <x:c r="E69" s="49" t="n">
        <x:v>4</x:v>
      </x:c>
      <x:c r="F69" s="49" t="str">
        <x:v>Yes</x:v>
      </x:c>
      <x:c r="G69" s="49" t="str">
        <x:v>공개 Trip.com 페이지/검색결과 기준 표기 없음</x:v>
      </x:c>
      <x:c r="H69" s="49" t="str">
        <x:v>유인 운영 정황 확인; 크롤링 전 1회 재확인 권장</x:v>
      </x:c>
      <x:c r="I69" s="49" t="str">
        <x:v>B</x:v>
      </x:c>
      <x:c r="J69" s="49" t="str">
        <x:v>SAME_CITY_POOL</x:v>
      </x:c>
      <x:c r="K69" s="49" t="str">
        <x:v>도시 일치 후보풀. Physical AI 호텔의 성급/가격 수집 후 최종 1:1 선택.</x:v>
      </x:c>
      <x:c r="L69" s="49" t="str">
        <x:v>https://www.trip.com/hotels/fukuoka-hotel-detail-47758200/the-basics-fukuoka/</x:v>
      </x:c>
      <x:c r="M69" s="49" t="str">
        <x:v>https://www.trip.com/hotels/fukuoka-hotel-detail-47758200/the-basics-fukuoka/</x:v>
      </x:c>
      <x:c r="N69" s="50" t="str">
        <x:v>https://www.trip.com/hotels/fukuoka-hotel-detail-47758200/the-basics-fukuoka/review.html</x:v>
      </x:c>
    </x:row>
    <x:row r="70">
      <x:c r="A70" s="15" t="str">
        <x:v>OLD_069</x:v>
      </x:c>
      <x:c r="B70" s="16" t="str">
        <x:v>Japan</x:v>
      </x:c>
      <x:c r="C70" s="16" t="str">
        <x:v>Fukuoka</x:v>
      </x:c>
      <x:c r="D70" s="49" t="str">
        <x:v>HOTEL MYSTAYS Fukuoka Tenjin Minami</x:v>
      </x:c>
      <x:c r="E70" s="49" t="n">
        <x:v>4</x:v>
      </x:c>
      <x:c r="F70" s="49" t="str">
        <x:v>Yes</x:v>
      </x:c>
      <x:c r="G70" s="49" t="str">
        <x:v>공개 Trip.com 페이지/검색결과 기준 표기 없음</x:v>
      </x:c>
      <x:c r="H70" s="49" t="str">
        <x:v>유인 운영 정황 확인; 크롤링 전 1회 재확인 권장</x:v>
      </x:c>
      <x:c r="I70" s="49" t="str">
        <x:v>B</x:v>
      </x:c>
      <x:c r="J70" s="49" t="str">
        <x:v>SAME_CITY_POOL</x:v>
      </x:c>
      <x:c r="K70" s="49" t="str">
        <x:v>도시 일치 후보풀. Physical AI 호텔의 성급/가격 수집 후 최종 1:1 선택.</x:v>
      </x:c>
      <x:c r="L70" s="49" t="str">
        <x:v>https://www.trip.com/hotels/fukuoka-hotel-detail-993536/hotel-mystays-fukuoka-tenjin-minami/</x:v>
      </x:c>
      <x:c r="M70" s="49" t="str">
        <x:v>https://www.trip.com/hotels/fukuoka-hotel-detail-993536/hotel-mystays-fukuoka-tenjin-minami/</x:v>
      </x:c>
      <x:c r="N70" s="50" t="str">
        <x:v>https://www.trip.com/hotels/fukuoka-hotel-detail-993536/hotel-mystays-fukuoka-tenjin-minami/review.html</x:v>
      </x:c>
    </x:row>
    <x:row r="71">
      <x:c r="A71" s="15" t="str">
        <x:v>OLD_070</x:v>
      </x:c>
      <x:c r="B71" s="16" t="str">
        <x:v>Japan</x:v>
      </x:c>
      <x:c r="C71" s="16" t="str">
        <x:v>Fukuoka</x:v>
      </x:c>
      <x:c r="D71" s="49" t="str">
        <x:v>Comfort Inn Fukuoka Tenjin</x:v>
      </x:c>
      <x:c r="E71" s="49" t="n">
        <x:v>3</x:v>
      </x:c>
      <x:c r="F71" s="49" t="str">
        <x:v>Yes</x:v>
      </x:c>
      <x:c r="G71" s="49" t="str">
        <x:v>공개 Trip.com 페이지/검색결과 기준 표기 없음</x:v>
      </x:c>
      <x:c r="H71" s="49" t="str">
        <x:v>유인 운영 정황 확인; 크롤링 전 1회 재확인 권장</x:v>
      </x:c>
      <x:c r="I71" s="49" t="str">
        <x:v>B</x:v>
      </x:c>
      <x:c r="J71" s="49" t="str">
        <x:v>SAME_CITY_POOL</x:v>
      </x:c>
      <x:c r="K71" s="49" t="str">
        <x:v>도시 일치 후보풀. Physical AI 호텔의 성급/가격 수집 후 최종 1:1 선택.</x:v>
      </x:c>
      <x:c r="L71" s="49" t="str">
        <x:v>https://www.trip.com/hotels/fukuoka-hotel-detail-74733627/comfort-inn-fukuoka-tenjin/</x:v>
      </x:c>
      <x:c r="M71" s="49" t="str">
        <x:v>https://www.trip.com/hotels/fukuoka-hotel-detail-74733627/comfort-inn-fukuoka-tenjin/</x:v>
      </x:c>
      <x:c r="N71" s="50" t="str">
        <x:v>https://www.trip.com/hotels/fukuoka-hotel-detail-74733627/comfort-inn-fukuoka-tenjin/review.html</x:v>
      </x:c>
    </x:row>
    <x:row r="72">
      <x:c r="A72" s="15" t="str">
        <x:v>OLD_071</x:v>
      </x:c>
      <x:c r="B72" s="16" t="str">
        <x:v>Japan</x:v>
      </x:c>
      <x:c r="C72" s="16" t="str">
        <x:v>Fukuoka</x:v>
      </x:c>
      <x:c r="D72" s="49" t="str">
        <x:v>The Royal Park Canvas Fukuoka Nakasu</x:v>
      </x:c>
      <x:c r="E72" s="49" t="n">
        <x:v>4</x:v>
      </x:c>
      <x:c r="F72" s="49" t="str">
        <x:v>Yes</x:v>
      </x:c>
      <x:c r="G72" s="49" t="str">
        <x:v>공개 Trip.com 페이지/검색결과 기준 표기 없음</x:v>
      </x:c>
      <x:c r="H72" s="49" t="str">
        <x:v>유인 운영 정황 확인; 크롤링 전 1회 재확인 권장</x:v>
      </x:c>
      <x:c r="I72" s="49" t="str">
        <x:v>B</x:v>
      </x:c>
      <x:c r="J72" s="49" t="str">
        <x:v>SAME_CITY_POOL</x:v>
      </x:c>
      <x:c r="K72" s="49" t="str">
        <x:v>도시 일치 후보풀. Physical AI 호텔의 성급/가격 수집 후 최종 1:1 선택.</x:v>
      </x:c>
      <x:c r="L72" s="49" t="str">
        <x:v>https://www.trip.com/hotels/fukuoka-hotel-detail-103101862/the-royal-park-canvas-fukuoka-nakasu/</x:v>
      </x:c>
      <x:c r="M72" s="49" t="str">
        <x:v>https://www.trip.com/hotels/fukuoka-hotel-detail-103101862/the-royal-park-canvas-fukuoka-nakasu/</x:v>
      </x:c>
      <x:c r="N72" s="50" t="str">
        <x:v>https://www.trip.com/hotels/fukuoka-hotel-detail-103101862/the-royal-park-canvas-fukuoka-nakasu/review.html</x:v>
      </x:c>
    </x:row>
    <x:row r="73">
      <x:c r="A73" s="15" t="str">
        <x:v>OLD_072</x:v>
      </x:c>
      <x:c r="B73" s="16" t="str">
        <x:v>Japan</x:v>
      </x:c>
      <x:c r="C73" s="16" t="str">
        <x:v>Fukuoka</x:v>
      </x:c>
      <x:c r="D73" s="49" t="str">
        <x:v>Nishitetsu Hotel Croom Hakata</x:v>
      </x:c>
      <x:c r="E73" s="49" t="n">
        <x:v>4</x:v>
      </x:c>
      <x:c r="F73" s="49" t="str">
        <x:v>Yes</x:v>
      </x:c>
      <x:c r="G73" s="49" t="str">
        <x:v>공개 Trip.com 페이지/검색결과 기준 표기 없음</x:v>
      </x:c>
      <x:c r="H73" s="49" t="str">
        <x:v>24h 프런트 명시 확인</x:v>
      </x:c>
      <x:c r="I73" s="49" t="str">
        <x:v>A</x:v>
      </x:c>
      <x:c r="J73" s="49" t="str">
        <x:v>SAME_CITY_POOL</x:v>
      </x:c>
      <x:c r="K73" s="49" t="str">
        <x:v>도시 일치 후보풀. Physical AI 호텔의 성급/가격 수집 후 최종 1:1 선택.</x:v>
      </x:c>
      <x:c r="L73" s="49" t="str">
        <x:v>https://www.trip.com/hotels/fukuoka-hotel-detail-705327/nishitetsu-hotel-croom-hakata/</x:v>
      </x:c>
      <x:c r="M73" s="49" t="str">
        <x:v>https://www.trip.com/hotels/fukuoka-hotel-detail-705327/nishitetsu-hotel-croom-hakata/</x:v>
      </x:c>
      <x:c r="N73" s="50" t="str">
        <x:v>https://www.trip.com/hotels/fukuoka-hotel-detail-705327/nishitetsu-hotel-croom-hakata/review.html</x:v>
      </x:c>
    </x:row>
    <x:row r="74">
      <x:c r="A74" s="15" t="str">
        <x:v>OLD_073</x:v>
      </x:c>
      <x:c r="B74" s="16" t="str">
        <x:v>Japan</x:v>
      </x:c>
      <x:c r="C74" s="16" t="str">
        <x:v>Kagoshima</x:v>
      </x:c>
      <x:c r="D74" s="49" t="str">
        <x:v>Hotel Sunflex Kagoshima</x:v>
      </x:c>
      <x:c r="E74" s="49" t="n">
        <x:v>4</x:v>
      </x:c>
      <x:c r="F74" s="49" t="str">
        <x:v>Yes</x:v>
      </x:c>
      <x:c r="G74" s="49" t="str">
        <x:v>공개 Trip.com 페이지/검색결과 기준 표기 없음</x:v>
      </x:c>
      <x:c r="H74" s="49" t="str">
        <x:v>유인 운영 정황 확인; 크롤링 전 1회 재확인 권장</x:v>
      </x:c>
      <x:c r="I74" s="49" t="str">
        <x:v>B</x:v>
      </x:c>
      <x:c r="J74" s="49" t="str">
        <x:v>SPARE_NOT_SAME_CITY</x:v>
      </x:c>
      <x:c r="K74" s="49" t="str">
        <x:v>현재 최종 Physical AI 도시와 불일치하여 예비 후보로만 보관.</x:v>
      </x:c>
      <x:c r="L74" s="49" t="str">
        <x:v>https://www.trip.com/hotels/kagoshima-hotel-detail-3000542/hotel-sunflex-kagoshima/</x:v>
      </x:c>
      <x:c r="M74" s="49" t="str">
        <x:v>https://www.trip.com/hotels/kagoshima-hotel-detail-3000542/hotel-sunflex-kagoshima/</x:v>
      </x:c>
      <x:c r="N74" s="50" t="str">
        <x:v>https://www.trip.com/hotels/kagoshima-hotel-detail-3000542/hotel-sunflex-kagoshima/review.html</x:v>
      </x:c>
    </x:row>
    <x:row r="75">
      <x:c r="A75" s="15" t="str">
        <x:v>OLD_074</x:v>
      </x:c>
      <x:c r="B75" s="16" t="str">
        <x:v>Japan</x:v>
      </x:c>
      <x:c r="C75" s="16" t="str">
        <x:v>Kagoshima</x:v>
      </x:c>
      <x:c r="D75" s="49" t="str">
        <x:v>Solaria Nishitetsu Hotel Kagoshima</x:v>
      </x:c>
      <x:c r="E75" s="49" t="n">
        <x:v>4</x:v>
      </x:c>
      <x:c r="F75" s="49" t="str">
        <x:v>Yes</x:v>
      </x:c>
      <x:c r="G75" s="49" t="str">
        <x:v>공개 Trip.com 페이지/검색결과 기준 표기 없음</x:v>
      </x:c>
      <x:c r="H75" s="49" t="str">
        <x:v>유인 운영 정황 확인; 크롤링 전 1회 재확인 권장</x:v>
      </x:c>
      <x:c r="I75" s="49" t="str">
        <x:v>B</x:v>
      </x:c>
      <x:c r="J75" s="49" t="str">
        <x:v>SPARE_NOT_SAME_CITY</x:v>
      </x:c>
      <x:c r="K75" s="49" t="str">
        <x:v>현재 최종 Physical AI 도시와 불일치하여 예비 후보로만 보관.</x:v>
      </x:c>
      <x:c r="L75" s="49" t="str">
        <x:v>https://www.trip.com/hotels/kagoshima-hotel-detail-705553/solaria-nishitetsu-hotel-kagoshima/</x:v>
      </x:c>
      <x:c r="M75" s="49" t="str">
        <x:v>https://www.trip.com/hotels/kagoshima-hotel-detail-705553/solaria-nishitetsu-hotel-kagoshima/</x:v>
      </x:c>
      <x:c r="N75" s="50" t="str">
        <x:v>https://www.trip.com/hotels/kagoshima-hotel-detail-705553/solaria-nishitetsu-hotel-kagoshima/review.html</x:v>
      </x:c>
    </x:row>
    <x:row r="76">
      <x:c r="A76" s="15" t="str">
        <x:v>OLD_075</x:v>
      </x:c>
      <x:c r="B76" s="16" t="str">
        <x:v>Japan</x:v>
      </x:c>
      <x:c r="C76" s="16" t="str">
        <x:v>Kagoshima</x:v>
      </x:c>
      <x:c r="D76" s="49" t="str">
        <x:v>SHIROYAMA HOTEL kagoshima</x:v>
      </x:c>
      <x:c r="E76" s="49" t="n">
        <x:v>4</x:v>
      </x:c>
      <x:c r="F76" s="49" t="str">
        <x:v>Yes</x:v>
      </x:c>
      <x:c r="G76" s="49" t="str">
        <x:v>공개 Trip.com 페이지/검색결과 기준 표기 없음</x:v>
      </x:c>
      <x:c r="H76" s="49" t="str">
        <x:v>유인 운영 정황 확인; 크롤링 전 1회 재확인 권장</x:v>
      </x:c>
      <x:c r="I76" s="49" t="str">
        <x:v>B</x:v>
      </x:c>
      <x:c r="J76" s="49" t="str">
        <x:v>SPARE_NOT_SAME_CITY</x:v>
      </x:c>
      <x:c r="K76" s="49" t="str">
        <x:v>현재 최종 Physical AI 도시와 불일치하여 예비 후보로만 보관.</x:v>
      </x:c>
      <x:c r="L76" s="49" t="str">
        <x:v>https://www.trip.com/hotels/kagoshima-hotel-detail-705443/shiroyama-hotel-kagoshima/</x:v>
      </x:c>
      <x:c r="M76" s="49" t="str">
        <x:v>https://www.trip.com/hotels/kagoshima-hotel-detail-705443/shiroyama-hotel-kagoshima/</x:v>
      </x:c>
      <x:c r="N76" s="50" t="str">
        <x:v>https://www.trip.com/hotels/kagoshima-hotel-detail-705443/shiroyama-hotel-kagoshima/review.html</x:v>
      </x:c>
    </x:row>
    <x:row r="77">
      <x:c r="A77" s="15" t="str">
        <x:v>OLD_076</x:v>
      </x:c>
      <x:c r="B77" s="16" t="str">
        <x:v>Japan</x:v>
      </x:c>
      <x:c r="C77" s="16" t="str">
        <x:v>Kagoshima</x:v>
      </x:c>
      <x:c r="D77" s="49" t="str">
        <x:v>JR Kyushu Hotel Kagoshima</x:v>
      </x:c>
      <x:c r="E77" s="49" t="n">
        <x:v>3</x:v>
      </x:c>
      <x:c r="F77" s="49" t="str">
        <x:v>Yes</x:v>
      </x:c>
      <x:c r="G77" s="49" t="str">
        <x:v>공개 Trip.com 페이지/검색결과 기준 표기 없음</x:v>
      </x:c>
      <x:c r="H77" s="49" t="str">
        <x:v>유인 운영 정황 확인; 크롤링 전 1회 재확인 권장</x:v>
      </x:c>
      <x:c r="I77" s="49" t="str">
        <x:v>B</x:v>
      </x:c>
      <x:c r="J77" s="49" t="str">
        <x:v>SPARE_NOT_SAME_CITY</x:v>
      </x:c>
      <x:c r="K77" s="49" t="str">
        <x:v>현재 최종 Physical AI 도시와 불일치하여 예비 후보로만 보관.</x:v>
      </x:c>
      <x:c r="L77" s="49" t="str">
        <x:v>https://www.trip.com/hotels/kagoshima-hotel-detail-705431/jr-kyushu-hotel-kagoshima/</x:v>
      </x:c>
      <x:c r="M77" s="49" t="str">
        <x:v>https://www.trip.com/hotels/kagoshima-hotel-detail-705431/jr-kyushu-hotel-kagoshima/</x:v>
      </x:c>
      <x:c r="N77" s="50" t="str">
        <x:v>https://www.trip.com/hotels/kagoshima-hotel-detail-705431/jr-kyushu-hotel-kagoshima/review.html</x:v>
      </x:c>
    </x:row>
    <x:row r="78">
      <x:c r="A78" s="15" t="str">
        <x:v>OLD_077</x:v>
      </x:c>
      <x:c r="B78" s="16" t="str">
        <x:v>Japan</x:v>
      </x:c>
      <x:c r="C78" s="16" t="str">
        <x:v>Kagoshima</x:v>
      </x:c>
      <x:c r="D78" s="49" t="str">
        <x:v>Daiwa Roynet Hotel Kagoshima Tenmonkan PREMIER</x:v>
      </x:c>
      <x:c r="E78" s="49" t="n">
        <x:v>4</x:v>
      </x:c>
      <x:c r="F78" s="49" t="str">
        <x:v>Yes</x:v>
      </x:c>
      <x:c r="G78" s="49" t="str">
        <x:v>공개 Trip.com 페이지/검색결과 기준 표기 없음</x:v>
      </x:c>
      <x:c r="H78" s="49" t="str">
        <x:v>유인 운영 정황 확인; 크롤링 전 1회 재확인 권장</x:v>
      </x:c>
      <x:c r="I78" s="49" t="str">
        <x:v>B</x:v>
      </x:c>
      <x:c r="J78" s="49" t="str">
        <x:v>SPARE_NOT_SAME_CITY</x:v>
      </x:c>
      <x:c r="K78" s="49" t="str">
        <x:v>현재 최종 Physical AI 도시와 불일치하여 예비 후보로만 보관.</x:v>
      </x:c>
      <x:c r="L78" s="49" t="str">
        <x:v>https://www.trip.com/hotels/kagoshima-hotel-detail-91787999/daiwa-roynet-hotel-kagoshima-tenmonkan/</x:v>
      </x:c>
      <x:c r="M78" s="49" t="str">
        <x:v>https://www.trip.com/hotels/kagoshima-hotel-detail-91787999/daiwa-roynet-hotel-kagoshima-tenmonkan/</x:v>
      </x:c>
      <x:c r="N78" s="50" t="str">
        <x:v>https://www.trip.com/hotels/kagoshima-hotel-detail-91787999/daiwa-roynet-hotel-kagoshima-tenmonkan/review.html</x:v>
      </x:c>
    </x:row>
    <x:row r="79">
      <x:c r="A79" s="15" t="str">
        <x:v>OLD_078</x:v>
      </x:c>
      <x:c r="B79" s="16" t="str">
        <x:v>Japan</x:v>
      </x:c>
      <x:c r="C79" s="16" t="str">
        <x:v>Kagoshima</x:v>
      </x:c>
      <x:c r="D79" s="49" t="str">
        <x:v>Kagoshima Sun Royal Hotel</x:v>
      </x:c>
      <x:c r="E79" s="49" t="n">
        <x:v>4</x:v>
      </x:c>
      <x:c r="F79" s="49" t="str">
        <x:v>Yes</x:v>
      </x:c>
      <x:c r="G79" s="49" t="str">
        <x:v>공개 Trip.com 페이지/검색결과 기준 표기 없음</x:v>
      </x:c>
      <x:c r="H79" s="49" t="str">
        <x:v>유인 운영 정황 확인; 크롤링 전 1회 재확인 권장</x:v>
      </x:c>
      <x:c r="I79" s="49" t="str">
        <x:v>B</x:v>
      </x:c>
      <x:c r="J79" s="49" t="str">
        <x:v>SPARE_NOT_SAME_CITY</x:v>
      </x:c>
      <x:c r="K79" s="49" t="str">
        <x:v>현재 최종 Physical AI 도시와 불일치하여 예비 후보로만 보관.</x:v>
      </x:c>
      <x:c r="L79" s="49" t="str">
        <x:v>https://www.trip.com/hotels/kagoshima-hotel-detail-704878/kagoshima-sun-royal-hotel/</x:v>
      </x:c>
      <x:c r="M79" s="49" t="str">
        <x:v>https://www.trip.com/hotels/kagoshima-hotel-detail-704878/kagoshima-sun-royal-hotel/</x:v>
      </x:c>
      <x:c r="N79" s="50" t="str">
        <x:v>https://www.trip.com/hotels/kagoshima-hotel-detail-704878/kagoshima-sun-royal-hotel/review.html</x:v>
      </x:c>
    </x:row>
    <x:row r="80">
      <x:c r="A80" s="15" t="str">
        <x:v>OLD_079</x:v>
      </x:c>
      <x:c r="B80" s="16" t="str">
        <x:v>Japan</x:v>
      </x:c>
      <x:c r="C80" s="16" t="str">
        <x:v>Kagoshima</x:v>
      </x:c>
      <x:c r="D80" s="49" t="str">
        <x:v>FAV LUX Kagoshima Tenmonkan</x:v>
      </x:c>
      <x:c r="E80" s="49" t="n">
        <x:v>4</x:v>
      </x:c>
      <x:c r="F80" s="49" t="str">
        <x:v>Yes</x:v>
      </x:c>
      <x:c r="G80" s="49" t="str">
        <x:v>공개 Trip.com 페이지/검색결과 기준 표기 없음</x:v>
      </x:c>
      <x:c r="H80" s="49" t="str">
        <x:v>유인 운영 정황 확인; 크롤링 전 1회 재확인 권장</x:v>
      </x:c>
      <x:c r="I80" s="49" t="str">
        <x:v>B</x:v>
      </x:c>
      <x:c r="J80" s="49" t="str">
        <x:v>SPARE_NOT_SAME_CITY</x:v>
      </x:c>
      <x:c r="K80" s="49" t="str">
        <x:v>현재 최종 Physical AI 도시와 불일치하여 예비 후보로만 보관.</x:v>
      </x:c>
      <x:c r="L80" s="49" t="str">
        <x:v>https://www.trip.com/hotels/kagoshima-hotel-detail-124582676/fav-lux-kagoshima-tenmonkan/</x:v>
      </x:c>
      <x:c r="M80" s="49" t="str">
        <x:v>https://www.trip.com/hotels/kagoshima-hotel-detail-124582676/fav-lux-kagoshima-tenmonkan/</x:v>
      </x:c>
      <x:c r="N80" s="50" t="str">
        <x:v>https://www.trip.com/hotels/kagoshima-hotel-detail-124582676/fav-lux-kagoshima-tenmonkan/review.html</x:v>
      </x:c>
    </x:row>
    <x:row r="81">
      <x:c r="A81" s="15" t="str">
        <x:v>OLD_080</x:v>
      </x:c>
      <x:c r="B81" s="16" t="str">
        <x:v>Japan</x:v>
      </x:c>
      <x:c r="C81" s="16" t="str">
        <x:v>Kagoshima</x:v>
      </x:c>
      <x:c r="D81" s="49" t="str">
        <x:v>Hotel Hokke Club Kagoshima</x:v>
      </x:c>
      <x:c r="E81" s="49" t="n">
        <x:v>3</x:v>
      </x:c>
      <x:c r="F81" s="49" t="str">
        <x:v>Yes</x:v>
      </x:c>
      <x:c r="G81" s="49" t="str">
        <x:v>공개 Trip.com 페이지/검색결과 기준 표기 없음</x:v>
      </x:c>
      <x:c r="H81" s="49" t="str">
        <x:v>유인 운영 정황 확인; 크롤링 전 1회 재확인 권장</x:v>
      </x:c>
      <x:c r="I81" s="49" t="str">
        <x:v>B</x:v>
      </x:c>
      <x:c r="J81" s="49" t="str">
        <x:v>SPARE_NOT_SAME_CITY</x:v>
      </x:c>
      <x:c r="K81" s="49" t="str">
        <x:v>현재 최종 Physical AI 도시와 불일치하여 예비 후보로만 보관.</x:v>
      </x:c>
      <x:c r="L81" s="49" t="str">
        <x:v>https://www.trip.com/hotels/kagoshima-hotel-detail-705544/hotel-hokke-club-kagoshima/</x:v>
      </x:c>
      <x:c r="M81" s="49" t="str">
        <x:v>https://www.trip.com/hotels/kagoshima-hotel-detail-705544/hotel-hokke-club-kagoshima/</x:v>
      </x:c>
      <x:c r="N81" s="50" t="str">
        <x:v>https://www.trip.com/hotels/kagoshima-hotel-detail-705544/hotel-hokke-club-kagoshima/review.html</x:v>
      </x:c>
    </x:row>
    <x:row r="82">
      <x:c r="A82" s="15" t="str">
        <x:v>OLD_081</x:v>
      </x:c>
      <x:c r="B82" s="16" t="str">
        <x:v>Japan</x:v>
      </x:c>
      <x:c r="C82" s="16" t="str">
        <x:v>Kanazawa</x:v>
      </x:c>
      <x:c r="D82" s="49" t="str">
        <x:v>Hotel Forza Kanazawa</x:v>
      </x:c>
      <x:c r="E82" s="49" t="n">
        <x:v>4</x:v>
      </x:c>
      <x:c r="F82" s="49" t="str">
        <x:v>Yes</x:v>
      </x:c>
      <x:c r="G82" s="49" t="str">
        <x:v>공개 Trip.com 페이지/검색결과 기준 표기 없음</x:v>
      </x:c>
      <x:c r="H82" s="49" t="str">
        <x:v>유인 운영 정황 확인; 크롤링 전 1회 재확인 권장</x:v>
      </x:c>
      <x:c r="I82" s="49" t="str">
        <x:v>B</x:v>
      </x:c>
      <x:c r="J82" s="49" t="str">
        <x:v>SAME_CITY_POOL</x:v>
      </x:c>
      <x:c r="K82" s="49" t="str">
        <x:v>도시 일치 후보풀. Physical AI 호텔의 성급/가격 수집 후 최종 1:1 선택.</x:v>
      </x:c>
      <x:c r="L82" s="49" t="str">
        <x:v>https://www.trip.com/hotels/kanazawa-hotel-detail-43624671/hotel-kanazawa-forza/</x:v>
      </x:c>
      <x:c r="M82" s="49" t="str">
        <x:v>https://www.trip.com/hotels/kanazawa-hotel-detail-43624671/hotel-kanazawa-forza/</x:v>
      </x:c>
      <x:c r="N82" s="50" t="str">
        <x:v>https://www.trip.com/hotels/kanazawa-hotel-detail-43624671/hotel-kanazawa-forza/review.html</x:v>
      </x:c>
    </x:row>
    <x:row r="83">
      <x:c r="A83" s="15" t="str">
        <x:v>OLD_082</x:v>
      </x:c>
      <x:c r="B83" s="16" t="str">
        <x:v>Japan</x:v>
      </x:c>
      <x:c r="C83" s="16" t="str">
        <x:v>Kanazawa</x:v>
      </x:c>
      <x:c r="D83" s="49" t="str">
        <x:v>Hotel Intergate Kanazawa</x:v>
      </x:c>
      <x:c r="E83" s="49" t="n">
        <x:v>4</x:v>
      </x:c>
      <x:c r="F83" s="49" t="str">
        <x:v>Yes</x:v>
      </x:c>
      <x:c r="G83" s="49" t="str">
        <x:v>공개 Trip.com 페이지/검색결과 기준 표기 없음</x:v>
      </x:c>
      <x:c r="H83" s="49" t="str">
        <x:v>유인 운영 정황 확인; 크롤링 전 1회 재확인 권장</x:v>
      </x:c>
      <x:c r="I83" s="49" t="str">
        <x:v>B</x:v>
      </x:c>
      <x:c r="J83" s="49" t="str">
        <x:v>SAME_CITY_POOL</x:v>
      </x:c>
      <x:c r="K83" s="49" t="str">
        <x:v>도시 일치 후보풀. Physical AI 호텔의 성급/가격 수집 후 최종 1:1 선택.</x:v>
      </x:c>
      <x:c r="L83" s="49" t="str">
        <x:v>https://www.trip.com/hotels/kanazawa-hotel-detail-23857210/hotel-intergate-kanazawa/</x:v>
      </x:c>
      <x:c r="M83" s="49" t="str">
        <x:v>https://www.trip.com/hotels/kanazawa-hotel-detail-23857210/hotel-intergate-kanazawa/</x:v>
      </x:c>
      <x:c r="N83" s="50" t="str">
        <x:v>https://www.trip.com/hotels/kanazawa-hotel-detail-23857210/hotel-intergate-kanazawa/review.html</x:v>
      </x:c>
    </x:row>
    <x:row r="84">
      <x:c r="A84" s="15" t="str">
        <x:v>OLD_083</x:v>
      </x:c>
      <x:c r="B84" s="16" t="str">
        <x:v>Japan</x:v>
      </x:c>
      <x:c r="C84" s="16" t="str">
        <x:v>Kanazawa</x:v>
      </x:c>
      <x:c r="D84" s="49" t="str">
        <x:v>KOKO Hotel Premier Kanazawa Korinbo</x:v>
      </x:c>
      <x:c r="E84" s="49" t="n">
        <x:v>4</x:v>
      </x:c>
      <x:c r="F84" s="49" t="str">
        <x:v>Yes</x:v>
      </x:c>
      <x:c r="G84" s="49" t="str">
        <x:v>공개 Trip.com 페이지/검색결과 기준 표기 없음</x:v>
      </x:c>
      <x:c r="H84" s="49" t="str">
        <x:v>유인 운영 정황 확인; 크롤링 전 1회 재확인 권장</x:v>
      </x:c>
      <x:c r="I84" s="49" t="str">
        <x:v>B</x:v>
      </x:c>
      <x:c r="J84" s="49" t="str">
        <x:v>SAME_CITY_POOL</x:v>
      </x:c>
      <x:c r="K84" s="49" t="str">
        <x:v>도시 일치 후보풀. Physical AI 호텔의 성급/가격 수집 후 최종 1:1 선택.</x:v>
      </x:c>
      <x:c r="L84" s="49" t="str">
        <x:v>https://www.trip.com/hotels/kanazawa-hotel-detail-94081236/koko-hotel-premier-kanazawa/</x:v>
      </x:c>
      <x:c r="M84" s="49" t="str">
        <x:v>https://www.trip.com/hotels/kanazawa-hotel-detail-94081236/koko-hotel-premier-kanazawa/</x:v>
      </x:c>
      <x:c r="N84" s="50" t="str">
        <x:v>https://www.trip.com/hotels/kanazawa-hotel-detail-94081236/koko-hotel-premier-kanazawa/review.html</x:v>
      </x:c>
    </x:row>
    <x:row r="85">
      <x:c r="A85" s="15" t="str">
        <x:v>OLD_084</x:v>
      </x:c>
      <x:c r="B85" s="16" t="str">
        <x:v>Japan</x:v>
      </x:c>
      <x:c r="C85" s="16" t="str">
        <x:v>Kanazawa</x:v>
      </x:c>
      <x:c r="D85" s="49" t="str">
        <x:v>SOKI KANAZAWA</x:v>
      </x:c>
      <x:c r="E85" s="49" t="n">
        <x:v>4</x:v>
      </x:c>
      <x:c r="F85" s="49" t="str">
        <x:v>Yes</x:v>
      </x:c>
      <x:c r="G85" s="49" t="str">
        <x:v>공개 Trip.com 페이지/검색결과 기준 표기 없음</x:v>
      </x:c>
      <x:c r="H85" s="49" t="str">
        <x:v>유인 운영 정황 확인; 크롤링 전 1회 재확인 권장</x:v>
      </x:c>
      <x:c r="I85" s="49" t="str">
        <x:v>B</x:v>
      </x:c>
      <x:c r="J85" s="49" t="str">
        <x:v>SAME_CITY_POOL</x:v>
      </x:c>
      <x:c r="K85" s="49" t="str">
        <x:v>도시 일치 후보풀. Physical AI 호텔의 성급/가격 수집 후 최종 1:1 선택.</x:v>
      </x:c>
      <x:c r="L85" s="49" t="str">
        <x:v>https://www.trip.com/hotels/kanazawa-hotel-detail-99496894/soki-kanazawa/</x:v>
      </x:c>
      <x:c r="M85" s="49" t="str">
        <x:v>https://www.trip.com/hotels/kanazawa-hotel-detail-99496894/soki-kanazawa/</x:v>
      </x:c>
      <x:c r="N85" s="50" t="str">
        <x:v>https://www.trip.com/hotels/kanazawa-hotel-detail-99496894/soki-kanazawa/review.html</x:v>
      </x:c>
    </x:row>
    <x:row r="86">
      <x:c r="A86" s="15" t="str">
        <x:v>OLD_085</x:v>
      </x:c>
      <x:c r="B86" s="16" t="str">
        <x:v>Japan</x:v>
      </x:c>
      <x:c r="C86" s="16" t="str">
        <x:v>Kanazawa</x:v>
      </x:c>
      <x:c r="D86" s="49" t="str">
        <x:v>The Square Hotel Kanazawa</x:v>
      </x:c>
      <x:c r="E86" s="49" t="n">
        <x:v>4</x:v>
      </x:c>
      <x:c r="F86" s="49" t="str">
        <x:v>Yes</x:v>
      </x:c>
      <x:c r="G86" s="49" t="str">
        <x:v>공개 Trip.com 페이지/검색결과 기준 표기 없음</x:v>
      </x:c>
      <x:c r="H86" s="49" t="str">
        <x:v>유인 운영 정황 확인; 크롤링 전 1회 재확인 권장</x:v>
      </x:c>
      <x:c r="I86" s="49" t="str">
        <x:v>B</x:v>
      </x:c>
      <x:c r="J86" s="49" t="str">
        <x:v>SAME_CITY_POOL</x:v>
      </x:c>
      <x:c r="K86" s="49" t="str">
        <x:v>도시 일치 후보풀. Physical AI 호텔의 성급/가격 수집 후 최종 1:1 선택.</x:v>
      </x:c>
      <x:c r="L86" s="49" t="str">
        <x:v>https://www.trip.com/hotels/kanazawa-hotel-detail-21121698/the-square-hotel-kanazawa/</x:v>
      </x:c>
      <x:c r="M86" s="49" t="str">
        <x:v>https://www.trip.com/hotels/kanazawa-hotel-detail-21121698/the-square-hotel-kanazawa/</x:v>
      </x:c>
      <x:c r="N86" s="50" t="str">
        <x:v>https://www.trip.com/hotels/kanazawa-hotel-detail-21121698/the-square-hotel-kanazawa/review.html</x:v>
      </x:c>
    </x:row>
    <x:row r="87">
      <x:c r="A87" s="15" t="str">
        <x:v>OLD_086</x:v>
      </x:c>
      <x:c r="B87" s="16" t="str">
        <x:v>Japan</x:v>
      </x:c>
      <x:c r="C87" s="16" t="str">
        <x:v>Kanazawa</x:v>
      </x:c>
      <x:c r="D87" s="49" t="str">
        <x:v>Dormy Inn Kanazawa Natural Hot Spring</x:v>
      </x:c>
      <x:c r="E87" s="49" t="n">
        <x:v>3</x:v>
      </x:c>
      <x:c r="F87" s="49" t="str">
        <x:v>Yes</x:v>
      </x:c>
      <x:c r="G87" s="49" t="str">
        <x:v>공개 Trip.com 페이지/검색결과 기준 표기 없음</x:v>
      </x:c>
      <x:c r="H87" s="49" t="str">
        <x:v>24h 프런트 명시 확인</x:v>
      </x:c>
      <x:c r="I87" s="49" t="str">
        <x:v>A</x:v>
      </x:c>
      <x:c r="J87" s="49" t="str">
        <x:v>SAME_CITY_POOL</x:v>
      </x:c>
      <x:c r="K87" s="49" t="str">
        <x:v>도시 일치 후보풀. Physical AI 호텔의 성급/가격 수집 후 최종 1:1 선택.</x:v>
      </x:c>
      <x:c r="L87" s="49" t="str">
        <x:v>https://www.trip.com/hotels/kanazawa-hotel-detail-703944/hotel-dormy-inn-kanazawa/</x:v>
      </x:c>
      <x:c r="M87" s="49" t="str">
        <x:v>https://www.trip.com/hotels/kanazawa-hotel-detail-703944/hotel-dormy-inn-kanazawa/</x:v>
      </x:c>
      <x:c r="N87" s="50" t="str">
        <x:v>https://www.trip.com/hotels/kanazawa-hotel-detail-703944/hotel-dormy-inn-kanazawa/review.html</x:v>
      </x:c>
    </x:row>
    <x:row r="88">
      <x:c r="A88" s="15" t="str">
        <x:v>OLD_087</x:v>
      </x:c>
      <x:c r="B88" s="16" t="str">
        <x:v>Japan</x:v>
      </x:c>
      <x:c r="C88" s="16" t="str">
        <x:v>Kanazawa</x:v>
      </x:c>
      <x:c r="D88" s="49" t="str">
        <x:v>HOTEL AMANEK Kanazawa</x:v>
      </x:c>
      <x:c r="E88" s="49" t="n">
        <x:v>4</x:v>
      </x:c>
      <x:c r="F88" s="49" t="str">
        <x:v>Yes</x:v>
      </x:c>
      <x:c r="G88" s="49" t="str">
        <x:v>공개 Trip.com 페이지/검색결과 기준 표기 없음</x:v>
      </x:c>
      <x:c r="H88" s="49" t="str">
        <x:v>유인 운영 정황 확인; 크롤링 전 1회 재확인 권장</x:v>
      </x:c>
      <x:c r="I88" s="49" t="str">
        <x:v>B</x:v>
      </x:c>
      <x:c r="J88" s="49" t="str">
        <x:v>SAME_CITY_POOL</x:v>
      </x:c>
      <x:c r="K88" s="49" t="str">
        <x:v>도시 일치 후보풀. Physical AI 호텔의 성급/가격 수집 후 최종 1:1 선택.</x:v>
      </x:c>
      <x:c r="L88" s="49" t="str">
        <x:v>https://www.trip.com/hotels/kanazawa-hotel-detail-46153791/hotel-amanek-kanazawa/</x:v>
      </x:c>
      <x:c r="M88" s="49" t="str">
        <x:v>https://www.trip.com/hotels/kanazawa-hotel-detail-46153791/hotel-amanek-kanazawa/</x:v>
      </x:c>
      <x:c r="N88" s="50" t="str">
        <x:v>https://www.trip.com/hotels/kanazawa-hotel-detail-46153791/hotel-amanek-kanazawa/review.html</x:v>
      </x:c>
    </x:row>
    <x:row r="89">
      <x:c r="A89" s="15" t="str">
        <x:v>OLD_088</x:v>
      </x:c>
      <x:c r="B89" s="16" t="str">
        <x:v>Japan</x:v>
      </x:c>
      <x:c r="C89" s="16" t="str">
        <x:v>Kanazawa</x:v>
      </x:c>
      <x:c r="D89" s="49" t="str">
        <x:v>Daiwa Roynet Hotel KANAZAWA-MIYABI</x:v>
      </x:c>
      <x:c r="E89" s="49" t="n">
        <x:v>4</x:v>
      </x:c>
      <x:c r="F89" s="49" t="str">
        <x:v>Yes</x:v>
      </x:c>
      <x:c r="G89" s="49" t="str">
        <x:v>공개 Trip.com 페이지/검색결과 기준 표기 없음</x:v>
      </x:c>
      <x:c r="H89" s="49" t="str">
        <x:v>유인 운영 정황 확인; 크롤링 전 1회 재확인 권장</x:v>
      </x:c>
      <x:c r="I89" s="49" t="str">
        <x:v>B</x:v>
      </x:c>
      <x:c r="J89" s="49" t="str">
        <x:v>SAME_CITY_POOL</x:v>
      </x:c>
      <x:c r="K89" s="49" t="str">
        <x:v>도시 일치 후보풀. Physical AI 호텔의 성급/가격 수집 후 최종 1:1 선택.</x:v>
      </x:c>
      <x:c r="L89" s="49" t="str">
        <x:v>https://www.trip.com/hotels/kanazawa-hotel-detail-30020112/daiwa-royal-hotel-d-premium-kanazawa/</x:v>
      </x:c>
      <x:c r="M89" s="49" t="str">
        <x:v>https://www.trip.com/hotels/kanazawa-hotel-detail-30020112/daiwa-royal-hotel-d-premium-kanazawa/</x:v>
      </x:c>
      <x:c r="N89" s="50" t="str">
        <x:v>https://www.trip.com/hotels/kanazawa-hotel-detail-30020112/daiwa-royal-hotel-d-premium-kanazawa/review.html</x:v>
      </x:c>
    </x:row>
    <x:row r="90">
      <x:c r="A90" s="15" t="str">
        <x:v>OLD_089</x:v>
      </x:c>
      <x:c r="B90" s="16" t="str">
        <x:v>Japan</x:v>
      </x:c>
      <x:c r="C90" s="16" t="str">
        <x:v>Sendai</x:v>
      </x:c>
      <x:c r="D90" s="49" t="str">
        <x:v>Daiwa Roynet Hotel Sendai Nishiguchi PREMIER</x:v>
      </x:c>
      <x:c r="E90" s="49" t="n">
        <x:v>4</x:v>
      </x:c>
      <x:c r="F90" s="49" t="str">
        <x:v>Yes</x:v>
      </x:c>
      <x:c r="G90" s="49" t="str">
        <x:v>공개 Trip.com 페이지/검색결과 기준 표기 없음</x:v>
      </x:c>
      <x:c r="H90" s="49" t="str">
        <x:v>유인 운영 정황 확인; 크롤링 전 1회 재확인 권장</x:v>
      </x:c>
      <x:c r="I90" s="49" t="str">
        <x:v>B</x:v>
      </x:c>
      <x:c r="J90" s="49" t="str">
        <x:v>SPARE_NOT_SAME_CITY</x:v>
      </x:c>
      <x:c r="K90" s="49" t="str">
        <x:v>현재 최종 Physical AI 도시와 불일치하여 예비 후보로만 보관.</x:v>
      </x:c>
      <x:c r="L90" s="49" t="str">
        <x:v>https://www.trip.com/hotels/sendai-hotel-detail-88790870/daiwa-roynet-hotel-sendai-nishiguchi-premier/</x:v>
      </x:c>
      <x:c r="M90" s="49" t="str">
        <x:v>https://www.trip.com/hotels/sendai-hotel-detail-88790870/daiwa-roynet-hotel-sendai-nishiguchi-premier/</x:v>
      </x:c>
      <x:c r="N90" s="50" t="str">
        <x:v>https://www.trip.com/hotels/sendai-hotel-detail-88790870/daiwa-roynet-hotel-sendai-nishiguchi-premier/review.html</x:v>
      </x:c>
    </x:row>
    <x:row r="91">
      <x:c r="A91" s="15" t="str">
        <x:v>OLD_090</x:v>
      </x:c>
      <x:c r="B91" s="16" t="str">
        <x:v>Japan</x:v>
      </x:c>
      <x:c r="C91" s="16" t="str">
        <x:v>Sendai</x:v>
      </x:c>
      <x:c r="D91" s="49" t="str">
        <x:v>The OneFive Sendai</x:v>
      </x:c>
      <x:c r="E91" s="49" t="n">
        <x:v>3</x:v>
      </x:c>
      <x:c r="F91" s="49" t="str">
        <x:v>Yes</x:v>
      </x:c>
      <x:c r="G91" s="49" t="str">
        <x:v>공개 Trip.com 페이지/검색결과 기준 표기 없음</x:v>
      </x:c>
      <x:c r="H91" s="49" t="str">
        <x:v>유인 운영 정황 확인; 크롤링 전 1회 재확인 권장</x:v>
      </x:c>
      <x:c r="I91" s="49" t="str">
        <x:v>B</x:v>
      </x:c>
      <x:c r="J91" s="49" t="str">
        <x:v>SPARE_NOT_SAME_CITY</x:v>
      </x:c>
      <x:c r="K91" s="49" t="str">
        <x:v>현재 최종 Physical AI 도시와 불일치하여 예비 후보로만 보관.</x:v>
      </x:c>
      <x:c r="L91" s="49" t="str">
        <x:v>https://www.trip.com/hotels/sendai-hotel-detail-118403688/the-onefive-sendai/</x:v>
      </x:c>
      <x:c r="M91" s="49" t="str">
        <x:v>https://www.trip.com/hotels/sendai-hotel-detail-118403688/the-onefive-sendai/</x:v>
      </x:c>
      <x:c r="N91" s="50" t="str">
        <x:v>https://www.trip.com/hotels/sendai-hotel-detail-118403688/the-onefive-sendai/review.html</x:v>
      </x:c>
    </x:row>
    <x:row r="92">
      <x:c r="A92" s="15" t="str">
        <x:v>OLD_091</x:v>
      </x:c>
      <x:c r="B92" s="16" t="str">
        <x:v>Japan</x:v>
      </x:c>
      <x:c r="C92" s="16" t="str">
        <x:v>Sendai</x:v>
      </x:c>
      <x:c r="D92" s="49" t="str">
        <x:v>Hotel Metropolitan Sendai East</x:v>
      </x:c>
      <x:c r="E92" s="49" t="n">
        <x:v>4</x:v>
      </x:c>
      <x:c r="F92" s="49" t="str">
        <x:v>Yes</x:v>
      </x:c>
      <x:c r="G92" s="49" t="str">
        <x:v>공개 Trip.com 페이지/검색결과 기준 표기 없음</x:v>
      </x:c>
      <x:c r="H92" s="49" t="str">
        <x:v>유인 운영 정황 확인; 크롤링 전 1회 재확인 권장</x:v>
      </x:c>
      <x:c r="I92" s="49" t="str">
        <x:v>B</x:v>
      </x:c>
      <x:c r="J92" s="49" t="str">
        <x:v>SPARE_NOT_SAME_CITY</x:v>
      </x:c>
      <x:c r="K92" s="49" t="str">
        <x:v>현재 최종 Physical AI 도시와 불일치하여 예비 후보로만 보관.</x:v>
      </x:c>
      <x:c r="L92" s="49" t="str">
        <x:v>https://www.trip.com/hotels/sendai-hotel-detail-6345931/hotel-metropolitan-sendai-east/</x:v>
      </x:c>
      <x:c r="M92" s="49" t="str">
        <x:v>https://www.trip.com/hotels/sendai-hotel-detail-6345931/hotel-metropolitan-sendai-east/</x:v>
      </x:c>
      <x:c r="N92" s="50" t="str">
        <x:v>https://www.trip.com/hotels/sendai-hotel-detail-6345931/hotel-metropolitan-sendai-east/review.html</x:v>
      </x:c>
    </x:row>
    <x:row r="93">
      <x:c r="A93" s="15" t="str">
        <x:v>OLD_092</x:v>
      </x:c>
      <x:c r="B93" s="16" t="str">
        <x:v>Japan</x:v>
      </x:c>
      <x:c r="C93" s="16" t="str">
        <x:v>Sendai</x:v>
      </x:c>
      <x:c r="D93" s="49" t="str">
        <x:v>KOKO HOTEL Sendai Station South</x:v>
      </x:c>
      <x:c r="E93" s="49" t="n">
        <x:v>3</x:v>
      </x:c>
      <x:c r="F93" s="49" t="str">
        <x:v>Yes</x:v>
      </x:c>
      <x:c r="G93" s="49" t="str">
        <x:v>공개 Trip.com 페이지/검색결과 기준 표기 없음</x:v>
      </x:c>
      <x:c r="H93" s="49" t="str">
        <x:v>24h 프런트 명시 확인</x:v>
      </x:c>
      <x:c r="I93" s="49" t="str">
        <x:v>A</x:v>
      </x:c>
      <x:c r="J93" s="49" t="str">
        <x:v>SPARE_NOT_SAME_CITY</x:v>
      </x:c>
      <x:c r="K93" s="49" t="str">
        <x:v>현재 최종 Physical AI 도시와 불일치하여 예비 후보로만 보관.</x:v>
      </x:c>
      <x:c r="L93" s="49" t="str">
        <x:v>https://www.trip.com/hotels/sendai-hotel-detail-111455516/koko-hotel-sendai-station-south/</x:v>
      </x:c>
      <x:c r="M93" s="49" t="str">
        <x:v>https://www.trip.com/hotels/sendai-hotel-detail-111455516/koko-hotel-sendai-station-south/</x:v>
      </x:c>
      <x:c r="N93" s="50" t="str">
        <x:v>https://www.trip.com/hotels/sendai-hotel-detail-111455516/koko-hotel-sendai-station-south/review.html</x:v>
      </x:c>
    </x:row>
    <x:row r="94">
      <x:c r="A94" s="15" t="str">
        <x:v>OLD_093</x:v>
      </x:c>
      <x:c r="B94" s="16" t="str">
        <x:v>Japan</x:v>
      </x:c>
      <x:c r="C94" s="16" t="str">
        <x:v>Sendai</x:v>
      </x:c>
      <x:c r="D94" s="49" t="str">
        <x:v>KOKO HOTEL Sendai Kotodai Park</x:v>
      </x:c>
      <x:c r="E94" s="49" t="n">
        <x:v>4</x:v>
      </x:c>
      <x:c r="F94" s="49" t="str">
        <x:v>Yes</x:v>
      </x:c>
      <x:c r="G94" s="49" t="str">
        <x:v>공개 Trip.com 페이지/검색결과 기준 표기 없음</x:v>
      </x:c>
      <x:c r="H94" s="49" t="str">
        <x:v>24h 프런트 명시 확인</x:v>
      </x:c>
      <x:c r="I94" s="49" t="str">
        <x:v>A</x:v>
      </x:c>
      <x:c r="J94" s="49" t="str">
        <x:v>SPARE_NOT_SAME_CITY</x:v>
      </x:c>
      <x:c r="K94" s="49" t="str">
        <x:v>현재 최종 Physical AI 도시와 불일치하여 예비 후보로만 보관.</x:v>
      </x:c>
      <x:c r="L94" s="49" t="str">
        <x:v>https://www.trip.com/hotels/sendai-hotel-detail-111455386/koko-hotel-sendai-kotodai-park/</x:v>
      </x:c>
      <x:c r="M94" s="49" t="str">
        <x:v>https://www.trip.com/hotels/sendai-hotel-detail-111455386/koko-hotel-sendai-kotodai-park/</x:v>
      </x:c>
      <x:c r="N94" s="50" t="str">
        <x:v>https://www.trip.com/hotels/sendai-hotel-detail-111455386/koko-hotel-sendai-kotodai-park/review.html</x:v>
      </x:c>
    </x:row>
    <x:row r="95">
      <x:c r="A95" s="15" t="str">
        <x:v>OLD_094</x:v>
      </x:c>
      <x:c r="B95" s="16" t="str">
        <x:v>Japan</x:v>
      </x:c>
      <x:c r="C95" s="16" t="str">
        <x:v>Sendai</x:v>
      </x:c>
      <x:c r="D95" s="49" t="str">
        <x:v>Sendai Washington Hotel</x:v>
      </x:c>
      <x:c r="E95" s="49" t="n">
        <x:v>4</x:v>
      </x:c>
      <x:c r="F95" s="49" t="str">
        <x:v>Yes</x:v>
      </x:c>
      <x:c r="G95" s="49" t="str">
        <x:v>공개 Trip.com 페이지/검색결과 기준 표기 없음</x:v>
      </x:c>
      <x:c r="H95" s="49" t="str">
        <x:v>24h 프런트 명시 확인</x:v>
      </x:c>
      <x:c r="I95" s="49" t="str">
        <x:v>A</x:v>
      </x:c>
      <x:c r="J95" s="49" t="str">
        <x:v>SPARE_NOT_SAME_CITY</x:v>
      </x:c>
      <x:c r="K95" s="49" t="str">
        <x:v>현재 최종 Physical AI 도시와 불일치하여 예비 후보로만 보관.</x:v>
      </x:c>
      <x:c r="L95" s="49" t="str">
        <x:v>https://www.trip.com/hotels/sendai-hotel-detail-705433/sendai-washington-hotel/</x:v>
      </x:c>
      <x:c r="M95" s="49" t="str">
        <x:v>https://www.trip.com/hotels/sendai-hotel-detail-705433/sendai-washington-hotel/</x:v>
      </x:c>
      <x:c r="N95" s="50" t="str">
        <x:v>https://www.trip.com/hotels/sendai-hotel-detail-705433/sendai-washington-hotel/review.html</x:v>
      </x:c>
    </x:row>
    <x:row r="96">
      <x:c r="A96" s="15" t="str">
        <x:v>OLD_095</x:v>
      </x:c>
      <x:c r="B96" s="16" t="str">
        <x:v>South Korea</x:v>
      </x:c>
      <x:c r="C96" s="16" t="str">
        <x:v>Seoul</x:v>
      </x:c>
      <x:c r="D96" s="49" t="str">
        <x:v>L7 MYEONGDONG by LOTTE HOTELS</x:v>
      </x:c>
      <x:c r="E96" s="49" t="n">
        <x:v>4</x:v>
      </x:c>
      <x:c r="F96" s="49" t="str">
        <x:v>Yes</x:v>
      </x:c>
      <x:c r="G96" s="49" t="str">
        <x:v>공개 Trip.com 페이지/검색결과 기준 표기 없음</x:v>
      </x:c>
      <x:c r="H96" s="49" t="str">
        <x:v>유인 운영 정황 확인; 크롤링 전 1회 재확인 권장</x:v>
      </x:c>
      <x:c r="I96" s="49" t="str">
        <x:v>B</x:v>
      </x:c>
      <x:c r="J96" s="49" t="str">
        <x:v>SAME_CITY_POOL</x:v>
      </x:c>
      <x:c r="K96" s="49" t="str">
        <x:v>도시 일치 후보풀. Physical AI 호텔의 성급/가격 수집 후 최종 1:1 선택.</x:v>
      </x:c>
      <x:c r="L96" s="49" t="str">
        <x:v>https://www.trip.com/hotels/seoul-hotel-detail-3732591/l7-myeongdong-by-lotte-hotels/</x:v>
      </x:c>
      <x:c r="M96" s="49" t="str">
        <x:v>https://www.trip.com/hotels/seoul-hotel-detail-3732591/l7-myeongdong-by-lotte-hotels/</x:v>
      </x:c>
      <x:c r="N96" s="50" t="str">
        <x:v>https://www.trip.com/hotels/seoul-hotel-detail-3732591/l7-myeongdong-by-lotte-hotels/review.html</x:v>
      </x:c>
    </x:row>
    <x:row r="97">
      <x:c r="A97" s="15" t="str">
        <x:v>OLD_096</x:v>
      </x:c>
      <x:c r="B97" s="16" t="str">
        <x:v>South Korea</x:v>
      </x:c>
      <x:c r="C97" s="16" t="str">
        <x:v>Seoul</x:v>
      </x:c>
      <x:c r="D97" s="49" t="str">
        <x:v>Hotel PJ Myeongdong</x:v>
      </x:c>
      <x:c r="E97" s="49" t="n">
        <x:v>4</x:v>
      </x:c>
      <x:c r="F97" s="49" t="str">
        <x:v>Yes</x:v>
      </x:c>
      <x:c r="G97" s="49" t="str">
        <x:v>공개 Trip.com 페이지/검색결과 기준 표기 없음</x:v>
      </x:c>
      <x:c r="H97" s="49" t="str">
        <x:v>유인 운영 정황 확인; 크롤링 전 1회 재확인 권장</x:v>
      </x:c>
      <x:c r="I97" s="49" t="str">
        <x:v>B</x:v>
      </x:c>
      <x:c r="J97" s="49" t="str">
        <x:v>SAME_CITY_POOL</x:v>
      </x:c>
      <x:c r="K97" s="49" t="str">
        <x:v>도시 일치 후보풀. Physical AI 호텔의 성급/가격 수집 후 최종 1:1 선택.</x:v>
      </x:c>
      <x:c r="L97" s="49" t="str">
        <x:v>https://www.trip.com/hotels/seoul-hotel-detail-988659/hotel-pj-myeongdong/</x:v>
      </x:c>
      <x:c r="M97" s="49" t="str">
        <x:v>https://www.trip.com/hotels/seoul-hotel-detail-988659/hotel-pj-myeongdong/</x:v>
      </x:c>
      <x:c r="N97" s="50" t="str">
        <x:v>https://www.trip.com/hotels/seoul-hotel-detail-988659/hotel-pj-myeongdong/review.html</x:v>
      </x:c>
    </x:row>
    <x:row r="98">
      <x:c r="A98" s="15" t="str">
        <x:v>OLD_097</x:v>
      </x:c>
      <x:c r="B98" s="16" t="str">
        <x:v>South Korea</x:v>
      </x:c>
      <x:c r="C98" s="16" t="str">
        <x:v>Seoul</x:v>
      </x:c>
      <x:c r="D98" s="49" t="str">
        <x:v>Sejong Hotel Seoul Myeongdong</x:v>
      </x:c>
      <x:c r="E98" s="49" t="n">
        <x:v>4</x:v>
      </x:c>
      <x:c r="F98" s="49" t="str">
        <x:v>Yes</x:v>
      </x:c>
      <x:c r="G98" s="49" t="str">
        <x:v>공개 Trip.com 페이지/검색결과 기준 표기 없음</x:v>
      </x:c>
      <x:c r="H98" s="49" t="str">
        <x:v>유인 운영 정황 확인; 크롤링 전 1회 재확인 권장</x:v>
      </x:c>
      <x:c r="I98" s="49" t="str">
        <x:v>B</x:v>
      </x:c>
      <x:c r="J98" s="49" t="str">
        <x:v>SAME_CITY_POOL</x:v>
      </x:c>
      <x:c r="K98" s="49" t="str">
        <x:v>도시 일치 후보풀. Physical AI 호텔의 성급/가격 수집 후 최종 1:1 선택.</x:v>
      </x:c>
      <x:c r="L98" s="49" t="str">
        <x:v>https://www.trip.com/hotels/seoul-hotel-detail-988675/sejong-hotel-seoul-myeongdong/</x:v>
      </x:c>
      <x:c r="M98" s="49" t="str">
        <x:v>https://www.trip.com/hotels/seoul-hotel-detail-988675/sejong-hotel-seoul-myeongdong/</x:v>
      </x:c>
      <x:c r="N98" s="50" t="str">
        <x:v>https://www.trip.com/hotels/seoul-hotel-detail-988675/sejong-hotel-seoul-myeongdong/review.html</x:v>
      </x:c>
    </x:row>
    <x:row r="99">
      <x:c r="A99" s="15" t="str">
        <x:v>OLD_098</x:v>
      </x:c>
      <x:c r="B99" s="16" t="str">
        <x:v>South Korea</x:v>
      </x:c>
      <x:c r="C99" s="16" t="str">
        <x:v>Seoul</x:v>
      </x:c>
      <x:c r="D99" s="49" t="str">
        <x:v>Solaria Nishitetsu Hotel Seoul Myeongdong</x:v>
      </x:c>
      <x:c r="E99" s="49" t="n">
        <x:v>4</x:v>
      </x:c>
      <x:c r="F99" s="49" t="str">
        <x:v>Yes</x:v>
      </x:c>
      <x:c r="G99" s="49" t="str">
        <x:v>공개 Trip.com 페이지/검색결과 기준 표기 없음</x:v>
      </x:c>
      <x:c r="H99" s="49" t="str">
        <x:v>유인 운영 정황 확인; 크롤링 전 1회 재확인 권장</x:v>
      </x:c>
      <x:c r="I99" s="49" t="str">
        <x:v>B</x:v>
      </x:c>
      <x:c r="J99" s="49" t="str">
        <x:v>SAME_CITY_POOL</x:v>
      </x:c>
      <x:c r="K99" s="49" t="str">
        <x:v>도시 일치 후보풀. Physical AI 호텔의 성급/가격 수집 후 최종 1:1 선택.</x:v>
      </x:c>
      <x:c r="L99" s="49" t="str">
        <x:v>https://www.trip.com/hotels/seoul-hotel-detail-2848471/solaria-nishitetsu-hotel-seoul-myeongdong/</x:v>
      </x:c>
      <x:c r="M99" s="49" t="str">
        <x:v>https://www.trip.com/hotels/seoul-hotel-detail-2848471/solaria-nishitetsu-hotel-seoul-myeongdong/</x:v>
      </x:c>
      <x:c r="N99" s="50" t="str">
        <x:v>https://www.trip.com/hotels/seoul-hotel-detail-2848471/solaria-nishitetsu-hotel-seoul-myeongdong/review.html</x:v>
      </x:c>
    </x:row>
    <x:row r="100">
      <x:c r="A100" s="15" t="str">
        <x:v>OLD_099</x:v>
      </x:c>
      <x:c r="B100" s="16" t="str">
        <x:v>United States</x:v>
      </x:c>
      <x:c r="C100" s="16" t="str">
        <x:v>New York</x:v>
      </x:c>
      <x:c r="D100" s="49" t="str">
        <x:v>Renaissance New York Midtown Hotel</x:v>
      </x:c>
      <x:c r="E100" s="49" t="n">
        <x:v>4</x:v>
      </x:c>
      <x:c r="F100" s="49" t="str">
        <x:v>Yes</x:v>
      </x:c>
      <x:c r="G100" s="49" t="str">
        <x:v>공개 Trip.com 페이지/검색결과 기준 표기 없음</x:v>
      </x:c>
      <x:c r="H100" s="49" t="str">
        <x:v>유인 운영 정황 확인; 크롤링 전 1회 재확인 권장</x:v>
      </x:c>
      <x:c r="I100" s="49" t="str">
        <x:v>B</x:v>
      </x:c>
      <x:c r="J100" s="49" t="str">
        <x:v>SAME_CITY_POOL</x:v>
      </x:c>
      <x:c r="K100" s="49" t="str">
        <x:v>도시 일치 후보풀. Physical AI 호텔의 성급/가격 수집 후 최종 1:1 선택.</x:v>
      </x:c>
      <x:c r="L100" s="49" t="str">
        <x:v>https://www.trip.com/hotels/new-york-hotel-detail-3928416/renaissance-new-york-midtown-hotel/</x:v>
      </x:c>
      <x:c r="M100" s="49" t="str">
        <x:v>https://www.trip.com/hotels/new-york-hotel-detail-3928416/renaissance-new-york-midtown-hotel/</x:v>
      </x:c>
      <x:c r="N100" s="50" t="str">
        <x:v>https://www.trip.com/hotels/new-york-hotel-detail-3928416/renaissance-new-york-midtown-hotel/review.html</x:v>
      </x:c>
    </x:row>
    <x:row r="101">
      <x:c r="A101" s="15" t="str">
        <x:v>OLD_100</x:v>
      </x:c>
      <x:c r="B101" s="16" t="str">
        <x:v>United States</x:v>
      </x:c>
      <x:c r="C101" s="16" t="str">
        <x:v>New York</x:v>
      </x:c>
      <x:c r="D101" s="49" t="str">
        <x:v>Arlo Midtown</x:v>
      </x:c>
      <x:c r="E101" s="49" t="n">
        <x:v>4</x:v>
      </x:c>
      <x:c r="F101" s="49" t="str">
        <x:v>Yes</x:v>
      </x:c>
      <x:c r="G101" s="49" t="str">
        <x:v>공개 Trip.com 페이지/검색결과 기준 표기 없음</x:v>
      </x:c>
      <x:c r="H101" s="49" t="str">
        <x:v>유인 운영 정황 확인; 크롤링 전 1회 재확인 권장</x:v>
      </x:c>
      <x:c r="I101" s="49" t="str">
        <x:v>B</x:v>
      </x:c>
      <x:c r="J101" s="49" t="str">
        <x:v>SAME_CITY_POOL</x:v>
      </x:c>
      <x:c r="K101" s="49" t="str">
        <x:v>도시 일치 후보풀. Physical AI 호텔의 성급/가격 수집 후 최종 1:1 선택.</x:v>
      </x:c>
      <x:c r="L101" s="49" t="str">
        <x:v>https://www.trip.com/hotels/new-york-hotel-detail-73592832/arlo-midtown/</x:v>
      </x:c>
      <x:c r="M101" s="49" t="str">
        <x:v>https://www.trip.com/hotels/new-york-hotel-detail-73592832/arlo-midtown/</x:v>
      </x:c>
      <x:c r="N101" s="50" t="str">
        <x:v>https://www.trip.com/hotels/new-york-hotel-detail-73592832/arlo-midtown/review.html</x:v>
      </x:c>
    </x:row>
    <x:row r="102">
      <x:c r="A102" s="15" t="str">
        <x:v>NEW_001</x:v>
      </x:c>
      <x:c r="B102" s="16" t="str">
        <x:v>Japan</x:v>
      </x:c>
      <x:c r="C102" s="16" t="str">
        <x:v>Urayasu</x:v>
      </x:c>
      <x:c r="D102" s="49" t="str">
        <x:v>Oriental Hotel Tokyo Bay</x:v>
      </x:c>
      <x:c r="E102" s="49" t="n">
        <x:v>5</x:v>
      </x:c>
      <x:c r="F102" s="49" t="str">
        <x:v>Yes</x:v>
      </x:c>
      <x:c r="G102" s="49" t="str">
        <x:v>현행 Trip.com 페이지에서 'Service robots' 표기 없음</x:v>
      </x:c>
      <x:c r="H102" s="49" t="str">
        <x:v>Front desk hours 24/7, multilingual staff 명시</x:v>
      </x:c>
      <x:c r="I102" s="49" t="str">
        <x:v>A</x:v>
      </x:c>
      <x:c r="J102" s="49" t="str">
        <x:v>NEW_SAME_CITY_POOL</x:v>
      </x:c>
      <x:c r="K102" s="49" t="str">
        <x:v>Henn na Hotel Maihama Tokyo Bay의 동일 도시 대조군 후보. 성급/가격은 최종 매칭 시 재확인.</x:v>
      </x:c>
      <x:c r="L102" s="49" t="str">
        <x:v>https://www.trip.com/hotels/urayasu-hotel-detail-1497509/oriental-hotel-tokyo-bay/</x:v>
      </x:c>
      <x:c r="M102" s="49" t="str">
        <x:v>https://www.trip.com/hotels/urayasu-hotel-detail-1497509/oriental-hotel-tokyo-bay/</x:v>
      </x:c>
      <x:c r="N102" s="50" t="str">
        <x:v>https://www.trip.com/hotels/urayasu-hotel-detail-1497509/oriental-hotel-tokyo-bay/review.html</x:v>
      </x:c>
    </x:row>
    <x:row r="103">
      <x:c r="A103" s="15" t="str">
        <x:v>NEW_002</x:v>
      </x:c>
      <x:c r="B103" s="16" t="str">
        <x:v>Japan</x:v>
      </x:c>
      <x:c r="C103" s="16" t="str">
        <x:v>Gamagori</x:v>
      </x:c>
      <x:c r="D103" s="49" t="str">
        <x:v>Hotel Takeshima</x:v>
      </x:c>
      <x:c r="E103" s="49" t="n">
        <x:v>3</x:v>
      </x:c>
      <x:c r="F103" s="49" t="str">
        <x:v>Yes</x:v>
      </x:c>
      <x:c r="G103" s="49" t="str">
        <x:v>현행 Trip.com 페이지에서 'Service robots' 표기 없음</x:v>
      </x:c>
      <x:c r="H103" s="49" t="str">
        <x:v>Front desk hours 24/7 명시</x:v>
      </x:c>
      <x:c r="I103" s="49" t="str">
        <x:v>A</x:v>
      </x:c>
      <x:c r="J103" s="49" t="str">
        <x:v>NEW_SAME_CITY_POOL</x:v>
      </x:c>
      <x:c r="K103" s="49" t="str">
        <x:v>Henn na Hotel Laguna Ten Bosch의 동일 도시 대조군 후보. 성급/가격은 최종 매칭 시 재확인.</x:v>
      </x:c>
      <x:c r="L103" s="49" t="str">
        <x:v>https://www.trip.com/hotels/gamagori-hotel-detail-3171606/hotel-takeshima/</x:v>
      </x:c>
      <x:c r="M103" s="49" t="str">
        <x:v>https://www.trip.com/hotels/gamagori-hotel-detail-3171606/hotel-takeshima/</x:v>
      </x:c>
      <x:c r="N103" s="50" t="str">
        <x:v>https://www.trip.com/hotels/gamagori-hotel-detail-3171606/hotel-takeshima/review.html</x:v>
      </x:c>
    </x:row>
    <x:row r="104">
      <x:c r="A104" s="18" t="str">
        <x:v>NEW_003</x:v>
      </x:c>
      <x:c r="B104" s="19" t="str">
        <x:v>Japan</x:v>
      </x:c>
      <x:c r="C104" s="19" t="str">
        <x:v>Izumisano</x:v>
      </x:c>
      <x:c r="D104" s="51" t="str">
        <x:v>Kansai Airport Washington Hotel</x:v>
      </x:c>
      <x:c r="E104" s="51" t="n">
        <x:v>4</x:v>
      </x:c>
      <x:c r="F104" s="51" t="str">
        <x:v>Yes</x:v>
      </x:c>
      <x:c r="G104" s="51" t="str">
        <x:v>현행 Trip.com 페이지에서 'Service robots' 표기 없음</x:v>
      </x:c>
      <x:c r="H104" s="51" t="str">
        <x:v>Front desk hours 24/7 및 직원 응대 명시</x:v>
      </x:c>
      <x:c r="I104" s="51" t="str">
        <x:v>A</x:v>
      </x:c>
      <x:c r="J104" s="51" t="str">
        <x:v>NEW_SAME_CITY_POOL</x:v>
      </x:c>
      <x:c r="K104" s="51" t="str">
        <x:v>Henn na Resort &amp; Spa Kansai Airport의 동일 도시 대조군 후보. 성급/가격은 최종 매칭 시 재확인.</x:v>
      </x:c>
      <x:c r="L104" s="51" t="str">
        <x:v>https://www.trip.com/hotels/izumisano-hotel-detail-688186/kansai-airport-washington-hotel/</x:v>
      </x:c>
      <x:c r="M104" s="51" t="str">
        <x:v>https://www.trip.com/hotels/izumisano-hotel-detail-688186/kansai-airport-washington-hotel/</x:v>
      </x:c>
      <x:c r="N104" s="52" t="str">
        <x:v>https://www.trip.com/hotels/izumisano-hotel-detail-688186/kansai-airport-washington-hotel/review.html</x:v>
      </x:c>
    </x:row>
  </x:sheetData>
  <x:conditionalFormatting sqref="J2:J104">
    <x:cfRule type="expression" dxfId="3" priority="1">
      <x:formula>OR($J2="SAME_CITY_POOL",$J2="NEW_SAME_CITY_POOL")</x:formula>
    </x:cfRule>
    <x:cfRule type="expression" dxfId="4" priority="2">
      <x:formula>$J2="SPARE_NOT_SAME_CITY"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a81012f0bf4c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23" hidden="0" customWidth="1"/>
    <x:col min="5" max="5" width="20" hidden="0" customWidth="1"/>
    <x:col min="6" max="6" width="22" hidden="0" customWidth="1"/>
    <x:col min="7" max="7" width="46" hidden="0" customWidth="1"/>
  </x:cols>
  <x:sheetData>
    <x:row r="1" ht="34" customHeight="1">
      <x:c r="A1" s="12" t="str">
        <x:v>Country</x:v>
      </x:c>
      <x:c r="B1" s="13" t="str">
        <x:v>City</x:v>
      </x:c>
      <x:c r="C1" s="13" t="str">
        <x:v>Physical_AI_N</x:v>
      </x:c>
      <x:c r="D1" s="13" t="str">
        <x:v>Same_City_Control_Pool_N</x:v>
      </x:c>
      <x:c r="E1" s="13" t="str">
        <x:v>Potential_Covered_N</x:v>
      </x:c>
      <x:c r="F1" s="13" t="str">
        <x:v>New_Controls_Needed</x:v>
      </x:c>
      <x:c r="G1" s="14" t="str">
        <x:v>Priority/Note</x:v>
      </x:c>
    </x:row>
    <x:row r="2">
      <x:c r="A2" s="15" t="str">
        <x:v>China</x:v>
      </x:c>
      <x:c r="B2" s="16" t="str">
        <x:v>Hangzhou</x:v>
      </x:c>
      <x:c r="C2" s="16" t="n">
        <x:v>14</x:v>
      </x:c>
      <x:c r="D2" s="16" t="n">
        <x:v>0</x:v>
      </x:c>
      <x:c r="E2" s="16" t="n">
        <x:v>0</x:v>
      </x:c>
      <x:c r="F2" s="16" t="n">
        <x:v>14</x:v>
      </x:c>
      <x:c r="G2" s="50" t="str">
        <x:v>중국 동일도시 conventional 후보를 새로 수집해야 함</x:v>
      </x:c>
    </x:row>
    <x:row r="3">
      <x:c r="A3" s="15" t="str">
        <x:v>China</x:v>
      </x:c>
      <x:c r="B3" s="16" t="str">
        <x:v>Shenzhen</x:v>
      </x:c>
      <x:c r="C3" s="16" t="n">
        <x:v>8</x:v>
      </x:c>
      <x:c r="D3" s="16" t="n">
        <x:v>0</x:v>
      </x:c>
      <x:c r="E3" s="16" t="n">
        <x:v>0</x:v>
      </x:c>
      <x:c r="F3" s="16" t="n">
        <x:v>8</x:v>
      </x:c>
      <x:c r="G3" s="50" t="str">
        <x:v>중국 동일도시 conventional 후보를 새로 수집해야 함</x:v>
      </x:c>
    </x:row>
    <x:row r="4">
      <x:c r="A4" s="15" t="str">
        <x:v>China</x:v>
      </x:c>
      <x:c r="B4" s="16" t="str">
        <x:v>Chengdu</x:v>
      </x:c>
      <x:c r="C4" s="16" t="n">
        <x:v>7</x:v>
      </x:c>
      <x:c r="D4" s="16" t="n">
        <x:v>0</x:v>
      </x:c>
      <x:c r="E4" s="16" t="n">
        <x:v>0</x:v>
      </x:c>
      <x:c r="F4" s="16" t="n">
        <x:v>7</x:v>
      </x:c>
      <x:c r="G4" s="50" t="str">
        <x:v>중국 동일도시 conventional 후보를 새로 수집해야 함</x:v>
      </x:c>
    </x:row>
    <x:row r="5">
      <x:c r="A5" s="15" t="str">
        <x:v>China</x:v>
      </x:c>
      <x:c r="B5" s="16" t="str">
        <x:v>Changsha</x:v>
      </x:c>
      <x:c r="C5" s="16" t="n">
        <x:v>5</x:v>
      </x:c>
      <x:c r="D5" s="16" t="n">
        <x:v>0</x:v>
      </x:c>
      <x:c r="E5" s="16" t="n">
        <x:v>0</x:v>
      </x:c>
      <x:c r="F5" s="16" t="n">
        <x:v>5</x:v>
      </x:c>
      <x:c r="G5" s="50" t="str">
        <x:v>중국 동일도시 conventional 후보를 새로 수집해야 함</x:v>
      </x:c>
    </x:row>
    <x:row r="6">
      <x:c r="A6" s="15" t="str">
        <x:v>China</x:v>
      </x:c>
      <x:c r="B6" s="16" t="str">
        <x:v>Nanjing</x:v>
      </x:c>
      <x:c r="C6" s="16" t="n">
        <x:v>5</x:v>
      </x:c>
      <x:c r="D6" s="16" t="n">
        <x:v>0</x:v>
      </x:c>
      <x:c r="E6" s="16" t="n">
        <x:v>0</x:v>
      </x:c>
      <x:c r="F6" s="16" t="n">
        <x:v>5</x:v>
      </x:c>
      <x:c r="G6" s="50" t="str">
        <x:v>중국 동일도시 conventional 후보를 새로 수집해야 함</x:v>
      </x:c>
    </x:row>
    <x:row r="7">
      <x:c r="A7" s="15" t="str">
        <x:v>China</x:v>
      </x:c>
      <x:c r="B7" s="16" t="str">
        <x:v>Shanghai</x:v>
      </x:c>
      <x:c r="C7" s="16" t="n">
        <x:v>5</x:v>
      </x:c>
      <x:c r="D7" s="16" t="n">
        <x:v>0</x:v>
      </x:c>
      <x:c r="E7" s="16" t="n">
        <x:v>0</x:v>
      </x:c>
      <x:c r="F7" s="16" t="n">
        <x:v>5</x:v>
      </x:c>
      <x:c r="G7" s="50" t="str">
        <x:v>중국 동일도시 conventional 후보를 새로 수집해야 함</x:v>
      </x:c>
    </x:row>
    <x:row r="8">
      <x:c r="A8" s="15" t="str">
        <x:v>China</x:v>
      </x:c>
      <x:c r="B8" s="16" t="str">
        <x:v>Suzhou</x:v>
      </x:c>
      <x:c r="C8" s="16" t="n">
        <x:v>5</x:v>
      </x:c>
      <x:c r="D8" s="16" t="n">
        <x:v>0</x:v>
      </x:c>
      <x:c r="E8" s="16" t="n">
        <x:v>0</x:v>
      </x:c>
      <x:c r="F8" s="16" t="n">
        <x:v>5</x:v>
      </x:c>
      <x:c r="G8" s="50" t="str">
        <x:v>중국 동일도시 conventional 후보를 새로 수집해야 함</x:v>
      </x:c>
    </x:row>
    <x:row r="9">
      <x:c r="A9" s="15" t="str">
        <x:v>China</x:v>
      </x:c>
      <x:c r="B9" s="16" t="str">
        <x:v>Chongqing</x:v>
      </x:c>
      <x:c r="C9" s="16" t="n">
        <x:v>4</x:v>
      </x:c>
      <x:c r="D9" s="16" t="n">
        <x:v>0</x:v>
      </x:c>
      <x:c r="E9" s="16" t="n">
        <x:v>0</x:v>
      </x:c>
      <x:c r="F9" s="16" t="n">
        <x:v>4</x:v>
      </x:c>
      <x:c r="G9" s="50" t="str">
        <x:v>중국 동일도시 conventional 후보를 새로 수집해야 함</x:v>
      </x:c>
    </x:row>
    <x:row r="10">
      <x:c r="A10" s="15" t="str">
        <x:v>China</x:v>
      </x:c>
      <x:c r="B10" s="16" t="str">
        <x:v>Guangzhou</x:v>
      </x:c>
      <x:c r="C10" s="16" t="n">
        <x:v>4</x:v>
      </x:c>
      <x:c r="D10" s="16" t="n">
        <x:v>0</x:v>
      </x:c>
      <x:c r="E10" s="16" t="n">
        <x:v>0</x:v>
      </x:c>
      <x:c r="F10" s="16" t="n">
        <x:v>4</x:v>
      </x:c>
      <x:c r="G10" s="50" t="str">
        <x:v>중국 동일도시 conventional 후보를 새로 수집해야 함</x:v>
      </x:c>
    </x:row>
    <x:row r="11">
      <x:c r="A11" s="15" t="str">
        <x:v>China</x:v>
      </x:c>
      <x:c r="B11" s="16" t="str">
        <x:v>Wuhan</x:v>
      </x:c>
      <x:c r="C11" s="16" t="n">
        <x:v>4</x:v>
      </x:c>
      <x:c r="D11" s="16" t="n">
        <x:v>0</x:v>
      </x:c>
      <x:c r="E11" s="16" t="n">
        <x:v>0</x:v>
      </x:c>
      <x:c r="F11" s="16" t="n">
        <x:v>4</x:v>
      </x:c>
      <x:c r="G11" s="50" t="str">
        <x:v>중국 동일도시 conventional 후보를 새로 수집해야 함</x:v>
      </x:c>
    </x:row>
    <x:row r="12">
      <x:c r="A12" s="15" t="str">
        <x:v>China</x:v>
      </x:c>
      <x:c r="B12" s="16" t="str">
        <x:v>Zhengzhou</x:v>
      </x:c>
      <x:c r="C12" s="16" t="n">
        <x:v>4</x:v>
      </x:c>
      <x:c r="D12" s="16" t="n">
        <x:v>0</x:v>
      </x:c>
      <x:c r="E12" s="16" t="n">
        <x:v>0</x:v>
      </x:c>
      <x:c r="F12" s="16" t="n">
        <x:v>4</x:v>
      </x:c>
      <x:c r="G12" s="50" t="str">
        <x:v>중국 동일도시 conventional 후보를 새로 수집해야 함</x:v>
      </x:c>
    </x:row>
    <x:row r="13">
      <x:c r="A13" s="15" t="str">
        <x:v>China</x:v>
      </x:c>
      <x:c r="B13" s="16" t="str">
        <x:v>Beijing</x:v>
      </x:c>
      <x:c r="C13" s="16" t="n">
        <x:v>3</x:v>
      </x:c>
      <x:c r="D13" s="16" t="n">
        <x:v>0</x:v>
      </x:c>
      <x:c r="E13" s="16" t="n">
        <x:v>0</x:v>
      </x:c>
      <x:c r="F13" s="16" t="n">
        <x:v>3</x:v>
      </x:c>
      <x:c r="G13" s="50" t="str">
        <x:v>중국 동일도시 conventional 후보를 새로 수집해야 함</x:v>
      </x:c>
    </x:row>
    <x:row r="14">
      <x:c r="A14" s="15" t="str">
        <x:v>China</x:v>
      </x:c>
      <x:c r="B14" s="16" t="str">
        <x:v>Hefei</x:v>
      </x:c>
      <x:c r="C14" s="16" t="n">
        <x:v>3</x:v>
      </x:c>
      <x:c r="D14" s="16" t="n">
        <x:v>0</x:v>
      </x:c>
      <x:c r="E14" s="16" t="n">
        <x:v>0</x:v>
      </x:c>
      <x:c r="F14" s="16" t="n">
        <x:v>3</x:v>
      </x:c>
      <x:c r="G14" s="50" t="str">
        <x:v>중국 동일도시 conventional 후보를 새로 수집해야 함</x:v>
      </x:c>
    </x:row>
    <x:row r="15">
      <x:c r="A15" s="15" t="str">
        <x:v>China</x:v>
      </x:c>
      <x:c r="B15" s="16" t="str">
        <x:v>Kunming</x:v>
      </x:c>
      <x:c r="C15" s="16" t="n">
        <x:v>3</x:v>
      </x:c>
      <x:c r="D15" s="16" t="n">
        <x:v>0</x:v>
      </x:c>
      <x:c r="E15" s="16" t="n">
        <x:v>0</x:v>
      </x:c>
      <x:c r="F15" s="16" t="n">
        <x:v>3</x:v>
      </x:c>
      <x:c r="G15" s="50" t="str">
        <x:v>중국 동일도시 conventional 후보를 새로 수집해야 함</x:v>
      </x:c>
    </x:row>
    <x:row r="16">
      <x:c r="A16" s="15" t="str">
        <x:v>China</x:v>
      </x:c>
      <x:c r="B16" s="16" t="str">
        <x:v>Qingdao</x:v>
      </x:c>
      <x:c r="C16" s="16" t="n">
        <x:v>3</x:v>
      </x:c>
      <x:c r="D16" s="16" t="n">
        <x:v>0</x:v>
      </x:c>
      <x:c r="E16" s="16" t="n">
        <x:v>0</x:v>
      </x:c>
      <x:c r="F16" s="16" t="n">
        <x:v>3</x:v>
      </x:c>
      <x:c r="G16" s="50" t="str">
        <x:v>중국 동일도시 conventional 후보를 새로 수집해야 함</x:v>
      </x:c>
    </x:row>
    <x:row r="17">
      <x:c r="A17" s="15" t="str">
        <x:v>China</x:v>
      </x:c>
      <x:c r="B17" s="16" t="str">
        <x:v>Tianjin</x:v>
      </x:c>
      <x:c r="C17" s="16" t="n">
        <x:v>3</x:v>
      </x:c>
      <x:c r="D17" s="16" t="n">
        <x:v>0</x:v>
      </x:c>
      <x:c r="E17" s="16" t="n">
        <x:v>0</x:v>
      </x:c>
      <x:c r="F17" s="16" t="n">
        <x:v>3</x:v>
      </x:c>
      <x:c r="G17" s="50" t="str">
        <x:v>중국 동일도시 conventional 후보를 새로 수집해야 함</x:v>
      </x:c>
    </x:row>
    <x:row r="18">
      <x:c r="A18" s="15" t="str">
        <x:v>China</x:v>
      </x:c>
      <x:c r="B18" s="16" t="str">
        <x:v>Dalian</x:v>
      </x:c>
      <x:c r="C18" s="16" t="n">
        <x:v>2</x:v>
      </x:c>
      <x:c r="D18" s="16" t="n">
        <x:v>0</x:v>
      </x:c>
      <x:c r="E18" s="16" t="n">
        <x:v>0</x:v>
      </x:c>
      <x:c r="F18" s="16" t="n">
        <x:v>2</x:v>
      </x:c>
      <x:c r="G18" s="50" t="str">
        <x:v>중국 동일도시 conventional 후보를 새로 수집해야 함</x:v>
      </x:c>
    </x:row>
    <x:row r="19">
      <x:c r="A19" s="15" t="str">
        <x:v>China</x:v>
      </x:c>
      <x:c r="B19" s="16" t="str">
        <x:v>Harbin</x:v>
      </x:c>
      <x:c r="C19" s="16" t="n">
        <x:v>1</x:v>
      </x:c>
      <x:c r="D19" s="16" t="n">
        <x:v>0</x:v>
      </x:c>
      <x:c r="E19" s="16" t="n">
        <x:v>0</x:v>
      </x:c>
      <x:c r="F19" s="16" t="n">
        <x:v>1</x:v>
      </x:c>
      <x:c r="G19" s="50" t="str">
        <x:v>중국 동일도시 conventional 후보를 새로 수집해야 함</x:v>
      </x:c>
    </x:row>
    <x:row r="20">
      <x:c r="A20" s="15" t="str">
        <x:v>China</x:v>
      </x:c>
      <x:c r="B20" s="16" t="str">
        <x:v>Jinan</x:v>
      </x:c>
      <x:c r="C20" s="16" t="n">
        <x:v>1</x:v>
      </x:c>
      <x:c r="D20" s="16" t="n">
        <x:v>0</x:v>
      </x:c>
      <x:c r="E20" s="16" t="n">
        <x:v>0</x:v>
      </x:c>
      <x:c r="F20" s="16" t="n">
        <x:v>1</x:v>
      </x:c>
      <x:c r="G20" s="50" t="str">
        <x:v>중국 동일도시 conventional 후보를 새로 수집해야 함</x:v>
      </x:c>
    </x:row>
    <x:row r="21">
      <x:c r="A21" s="15" t="str">
        <x:v>Japan</x:v>
      </x:c>
      <x:c r="B21" s="16" t="str">
        <x:v>Tokyo</x:v>
      </x:c>
      <x:c r="C21" s="16" t="n">
        <x:v>6</x:v>
      </x:c>
      <x:c r="D21" s="16" t="n">
        <x:v>20</x:v>
      </x:c>
      <x:c r="E21" s="16" t="n">
        <x:v>6</x:v>
      </x:c>
      <x:c r="F21" s="16" t="n">
        <x:v>0</x:v>
      </x:c>
      <x:c r="G21" s="50" t="str">
        <x:v>후보풀 있음 → 성급·가격 기준으로 최종 1:1 선택</x:v>
      </x:c>
    </x:row>
    <x:row r="22">
      <x:c r="A22" s="15" t="str">
        <x:v>Japan</x:v>
      </x:c>
      <x:c r="B22" s="16" t="str">
        <x:v>Osaka</x:v>
      </x:c>
      <x:c r="C22" s="16" t="n">
        <x:v>2</x:v>
      </x:c>
      <x:c r="D22" s="16" t="n">
        <x:v>20</x:v>
      </x:c>
      <x:c r="E22" s="16" t="n">
        <x:v>2</x:v>
      </x:c>
      <x:c r="F22" s="16" t="n">
        <x:v>0</x:v>
      </x:c>
      <x:c r="G22" s="50" t="str">
        <x:v>후보풀 있음 → 성급·가격 기준으로 최종 1:1 선택</x:v>
      </x:c>
    </x:row>
    <x:row r="23">
      <x:c r="A23" s="15" t="str">
        <x:v>Japan</x:v>
      </x:c>
      <x:c r="B23" s="16" t="str">
        <x:v>Fukuoka</x:v>
      </x:c>
      <x:c r="C23" s="16" t="n">
        <x:v>1</x:v>
      </x:c>
      <x:c r="D23" s="16" t="n">
        <x:v>8</x:v>
      </x:c>
      <x:c r="E23" s="16" t="n">
        <x:v>1</x:v>
      </x:c>
      <x:c r="F23" s="16" t="n">
        <x:v>0</x:v>
      </x:c>
      <x:c r="G23" s="50" t="str">
        <x:v>후보풀 있음 → 성급·가격 기준으로 최종 1:1 선택</x:v>
      </x:c>
    </x:row>
    <x:row r="24">
      <x:c r="A24" s="15" t="str">
        <x:v>Japan</x:v>
      </x:c>
      <x:c r="B24" s="16" t="str">
        <x:v>Gamagori</x:v>
      </x:c>
      <x:c r="C24" s="16" t="n">
        <x:v>1</x:v>
      </x:c>
      <x:c r="D24" s="16" t="n">
        <x:v>1</x:v>
      </x:c>
      <x:c r="E24" s="16" t="n">
        <x:v>1</x:v>
      </x:c>
      <x:c r="F24" s="16" t="n">
        <x:v>0</x:v>
      </x:c>
      <x:c r="G24" s="50" t="str">
        <x:v>후보풀 있음 → 성급·가격 기준으로 최종 1:1 선택</x:v>
      </x:c>
    </x:row>
    <x:row r="25">
      <x:c r="A25" s="15" t="str">
        <x:v>Japan</x:v>
      </x:c>
      <x:c r="B25" s="16" t="str">
        <x:v>Izumisano</x:v>
      </x:c>
      <x:c r="C25" s="16" t="n">
        <x:v>1</x:v>
      </x:c>
      <x:c r="D25" s="16" t="n">
        <x:v>1</x:v>
      </x:c>
      <x:c r="E25" s="16" t="n">
        <x:v>1</x:v>
      </x:c>
      <x:c r="F25" s="16" t="n">
        <x:v>0</x:v>
      </x:c>
      <x:c r="G25" s="50" t="str">
        <x:v>후보풀 있음 → 성급·가격 기준으로 최종 1:1 선택</x:v>
      </x:c>
    </x:row>
    <x:row r="26">
      <x:c r="A26" s="15" t="str">
        <x:v>Japan</x:v>
      </x:c>
      <x:c r="B26" s="16" t="str">
        <x:v>Kanazawa</x:v>
      </x:c>
      <x:c r="C26" s="16" t="n">
        <x:v>1</x:v>
      </x:c>
      <x:c r="D26" s="16" t="n">
        <x:v>8</x:v>
      </x:c>
      <x:c r="E26" s="16" t="n">
        <x:v>1</x:v>
      </x:c>
      <x:c r="F26" s="16" t="n">
        <x:v>0</x:v>
      </x:c>
      <x:c r="G26" s="50" t="str">
        <x:v>후보풀 있음 → 성급·가격 기준으로 최종 1:1 선택</x:v>
      </x:c>
    </x:row>
    <x:row r="27">
      <x:c r="A27" s="15" t="str">
        <x:v>Japan</x:v>
      </x:c>
      <x:c r="B27" s="16" t="str">
        <x:v>Kyoto</x:v>
      </x:c>
      <x:c r="C27" s="16" t="n">
        <x:v>1</x:v>
      </x:c>
      <x:c r="D27" s="16" t="n">
        <x:v>10</x:v>
      </x:c>
      <x:c r="E27" s="16" t="n">
        <x:v>1</x:v>
      </x:c>
      <x:c r="F27" s="16" t="n">
        <x:v>0</x:v>
      </x:c>
      <x:c r="G27" s="50" t="str">
        <x:v>후보풀 있음 → 성급·가격 기준으로 최종 1:1 선택</x:v>
      </x:c>
    </x:row>
    <x:row r="28">
      <x:c r="A28" s="15" t="str">
        <x:v>Japan</x:v>
      </x:c>
      <x:c r="B28" s="16" t="str">
        <x:v>Urayasu</x:v>
      </x:c>
      <x:c r="C28" s="16" t="n">
        <x:v>1</x:v>
      </x:c>
      <x:c r="D28" s="16" t="n">
        <x:v>1</x:v>
      </x:c>
      <x:c r="E28" s="16" t="n">
        <x:v>1</x:v>
      </x:c>
      <x:c r="F28" s="16" t="n">
        <x:v>0</x:v>
      </x:c>
      <x:c r="G28" s="50" t="str">
        <x:v>후보풀 있음 → 성급·가격 기준으로 최종 1:1 선택</x:v>
      </x:c>
    </x:row>
    <x:row r="29">
      <x:c r="A29" s="15" t="str">
        <x:v>South Korea</x:v>
      </x:c>
      <x:c r="B29" s="16" t="str">
        <x:v>Seoul</x:v>
      </x:c>
      <x:c r="C29" s="16" t="n">
        <x:v>1</x:v>
      </x:c>
      <x:c r="D29" s="16" t="n">
        <x:v>4</x:v>
      </x:c>
      <x:c r="E29" s="16" t="n">
        <x:v>1</x:v>
      </x:c>
      <x:c r="F29" s="16" t="n">
        <x:v>0</x:v>
      </x:c>
      <x:c r="G29" s="50" t="str">
        <x:v>후보풀 있음 → 성급·가격 기준으로 최종 1:1 선택</x:v>
      </x:c>
    </x:row>
    <x:row r="30">
      <x:c r="A30" s="18" t="str">
        <x:v>United States</x:v>
      </x:c>
      <x:c r="B30" s="19" t="str">
        <x:v>New York</x:v>
      </x:c>
      <x:c r="C30" s="19" t="n">
        <x:v>1</x:v>
      </x:c>
      <x:c r="D30" s="19" t="n">
        <x:v>2</x:v>
      </x:c>
      <x:c r="E30" s="19" t="n">
        <x:v>1</x:v>
      </x:c>
      <x:c r="F30" s="19" t="n">
        <x:v>0</x:v>
      </x:c>
      <x:c r="G30" s="52" t="str">
        <x:v>후보풀 있음 → 성급·가격 기준으로 최종 1:1 선택</x:v>
      </x:c>
    </x:row>
  </x:sheetData>
  <x:conditionalFormatting sqref="F2:F30">
    <x:cfRule type="dataBar" priority="1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{B5680E3B-7C19-63C8-6484-F1B10A79B3F4}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dd3ffa663c647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5680E3B-7C19-63C8-6484-F1B10A79B3F4}">
            <x14:dataBar gradient="1">
              <x14:cfvo type="min"/>
              <x14:cfvo type="max"/>
              <x14:fillColor rgb="FFE97132"/>
            </x14:dataBar>
          </x14:cfRule>
          <xm:sqref>F2:F30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4" hidden="0" customWidth="1"/>
    <x:col min="4" max="4" width="18" hidden="0" customWidth="1"/>
    <x:col min="5" max="5" width="16" hidden="0" customWidth="1"/>
    <x:col min="6" max="6" width="16" hidden="0" customWidth="1"/>
  </x:cols>
  <x:sheetData>
    <x:row r="1">
      <x:c r="A1" s="63" t="str">
        <x:v>호텔 표본 재구성 요약 (2026-10-05)</x:v>
      </x:c>
      <x:c r="B1" s="63"/>
      <x:c r="C1" s="63"/>
      <x:c r="D1" s="63"/>
      <x:c r="E1" s="63"/>
      <x:c r="F1" s="63"/>
    </x:row>
    <x:row r="3">
      <x:c r="A3" s="12" t="str">
        <x:v>KPI</x:v>
      </x:c>
      <x:c r="B3" s="14" t="str">
        <x:v>Value</x:v>
      </x:c>
      <x:c r="D3" s="12" t="str">
        <x:v>Country</x:v>
      </x:c>
      <x:c r="E3" s="14" t="str">
        <x:v>Physical_AI_N</x:v>
      </x:c>
    </x:row>
    <x:row r="4">
      <x:c r="A4" s="71" t="str">
        <x:v>최종 Physical AI 호텔 수</x:v>
      </x:c>
      <x:c r="B4" s="79" t="n">
        <x:f>COUNTA(Physical_AI_Final_100!A2:A101)</x:f>
        <x:v>100</x:v>
      </x:c>
      <x:c r="D4" s="15" t="str">
        <x:v>China</x:v>
      </x:c>
      <x:c r="E4" s="17" t="n">
        <x:f>COUNTIF(Physical_AI_Final_100!$C$2:$C$101,D4)</x:f>
        <x:v>84</x:v>
      </x:c>
    </x:row>
    <x:row r="5">
      <x:c r="A5" s="71" t="str">
        <x:v>원본에서 유지한 호텔 수</x:v>
      </x:c>
      <x:c r="B5" s="79" t="n">
        <x:f>COUNTIF(Physical_AI_Final_100!G2:G101,"RETAIN")</x:f>
        <x:v>91</x:v>
      </x:c>
      <x:c r="D5" s="15" t="str">
        <x:v>Japan</x:v>
      </x:c>
      <x:c r="E5" s="17" t="n">
        <x:f>COUNTIF(Physical_AI_Final_100!$C$2:$C$101,D5)</x:f>
        <x:v>14</x:v>
      </x:c>
    </x:row>
    <x:row r="6">
      <x:c r="A6" s="71" t="str">
        <x:v>Henn-na 검토 대상</x:v>
      </x:c>
      <x:c r="B6" s="79" t="n">
        <x:f>25</x:f>
        <x:v>25</x:v>
      </x:c>
      <x:c r="D6" s="15" t="str">
        <x:v>South Korea</x:v>
      </x:c>
      <x:c r="E6" s="17" t="n">
        <x:f>COUNTIF(Physical_AI_Final_100!$C$2:$C$101,D6)</x:f>
        <x:v>1</x:v>
      </x:c>
    </x:row>
    <x:row r="7">
      <x:c r="A7" s="71" t="str">
        <x:v>Henn-na 유지</x:v>
      </x:c>
      <x:c r="B7" s="79" t="n">
        <x:f>COUNTIFS(Physical_AI_Final_100!F2:F101,"Henn na Hotel",Physical_AI_Final_100!G2:G101,"RETAIN")</x:f>
        <x:v>16</x:v>
      </x:c>
      <x:c r="D7" s="18" t="str">
        <x:v>United States</x:v>
      </x:c>
      <x:c r="E7" s="20" t="n">
        <x:f>COUNTIF(Physical_AI_Final_100!$C$2:$C$101,D7)</x:f>
        <x:v>1</x:v>
      </x:c>
    </x:row>
    <x:row r="8">
      <x:c r="A8" s="71" t="str">
        <x:v>Henn-na 제외</x:v>
      </x:c>
      <x:c r="B8" s="79" t="n">
        <x:f>COUNTA(Excluded_9!A2:A10)</x:f>
        <x:v>9</x:v>
      </x:c>
    </x:row>
    <x:row r="9">
      <x:c r="A9" s="71" t="str">
        <x:v>신규 Physical AI 대체 추가</x:v>
      </x:c>
      <x:c r="B9" s="79" t="n">
        <x:f>COUNTIF(Physical_AI_Final_100!G2:G101,"ADD_REPLACEMENT")</x:f>
        <x:v>9</x:v>
      </x:c>
    </x:row>
    <x:row r="10">
      <x:c r="A10" s="71" t="str">
        <x:v>최종 중국 Physical AI</x:v>
      </x:c>
      <x:c r="B10" s="79" t="n">
        <x:f>COUNTIF(Physical_AI_Final_100!C2:C101,"China")</x:f>
        <x:v>84</x:v>
      </x:c>
    </x:row>
    <x:row r="11">
      <x:c r="A11" s="71" t="str">
        <x:v>최종 일본 Physical AI</x:v>
      </x:c>
      <x:c r="B11" s="79" t="n">
        <x:f>COUNTIF(Physical_AI_Final_100!C2:C101,"Japan")</x:f>
        <x:v>14</x:v>
      </x:c>
    </x:row>
    <x:row r="12">
      <x:c r="A12" s="71" t="str">
        <x:v>Conventional seed pool 총수</x:v>
      </x:c>
      <x:c r="B12" s="79" t="n">
        <x:f>COUNTA(Control_Seed_Pool!A2:A104)</x:f>
        <x:v>103</x:v>
      </x:c>
    </x:row>
    <x:row r="13">
      <x:c r="A13" s="71" t="str">
        <x:v>동일도시 대조군 잠재 커버 수</x:v>
      </x:c>
      <x:c r="B13" s="79" t="n">
        <x:f>SUM(Matching_Targets!E2:E30)</x:f>
        <x:v>16</x:v>
      </x:c>
    </x:row>
    <x:row r="14">
      <x:c r="A14" s="72" t="str">
        <x:v>추가로 필요한 conventional 수</x:v>
      </x:c>
      <x:c r="B14" s="80" t="n">
        <x:f>SUM(Matching_Targets!F2:F30)</x:f>
        <x:v>84</x:v>
      </x:c>
    </x:row>
    <x:row r="16" ht="27" customHeight="1">
      <x:c r="A16" s="86" t="str">
        <x:v>판정 핵심
• 기존 100개를 폐기하지 않고 Henn-na 25개만 엄격 재검토해 9개를 제외.
• 제외된 9개는 현재 Trip.com에서 Service robots가 명시된 신규 호텔 9개로 교체하여 Physical AI 100개를 유지.
• Conventional 표본은 이 100개의 도시 분포를 기준으로 재구성.
• 현재 seed pool로 16개 매칭 슬롯을 커버할 수 있으며, 중국 동일도시 conventional 호텔 84개를 새로 확보해야 함.
• 최종 1:1 매칭은 성급과 동일 날짜 가격을 수집한 뒤 확정.</x:v>
      </x:c>
      <x:c r="B16" s="86"/>
      <x:c r="C16" s="86"/>
      <x:c r="D16" s="86"/>
      <x:c r="E16" s="86"/>
      <x:c r="F16" s="86"/>
    </x:row>
    <x:row r="17" ht="27" customHeight="1">
      <x:c r="A17" s="86"/>
      <x:c r="B17" s="86"/>
      <x:c r="C17" s="86"/>
      <x:c r="D17" s="86"/>
      <x:c r="E17" s="86"/>
      <x:c r="F17" s="86"/>
    </x:row>
    <x:row r="18" ht="27" customHeight="1">
      <x:c r="A18" s="86"/>
      <x:c r="B18" s="86"/>
      <x:c r="C18" s="86"/>
      <x:c r="D18" s="86"/>
      <x:c r="E18" s="86"/>
      <x:c r="F18" s="86"/>
    </x:row>
    <x:row r="19" ht="27" customHeight="1">
      <x:c r="A19" s="86"/>
      <x:c r="B19" s="86"/>
    </x:row>
    <x:row r="20" ht="27" customHeight="1">
      <x:c r="A20" s="86"/>
      <x:c r="B20" s="86"/>
    </x:row>
    <x:row r="21" ht="27" customHeight="1">
      <x:c r="A21" s="86"/>
      <x:c r="B21" s="86"/>
    </x:row>
    <x:row r="22" ht="27" customHeight="1">
      <x:c r="A22" s="86"/>
      <x:c r="B22" s="86"/>
    </x:row>
    <x:row r="23" ht="27" customHeight="1">
      <x:c r="A23" s="86"/>
      <x:c r="B23" s="86"/>
    </x:row>
  </x:sheetData>
  <x:mergeCells>
    <x:mergeCell ref="A1:F1"/>
    <x:mergeCell ref="A16:B23"/>
  </x:mergeCells>
  <x:pageMargins left="0.7" right="0.7" top="0.75" bottom="0.75" header="0.3" footer="0.3"/>
  <x:drawing xmlns:r="http://schemas.openxmlformats.org/officeDocument/2006/relationships" r:id="Refa3949fa4aa43d5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2" t="str">
        <x:v>항목</x:v>
      </x:c>
      <x:c r="B1" s="14" t="str">
        <x:v>내용</x:v>
      </x:c>
    </x:row>
    <x:row r="2">
      <x:c r="A2" s="71" t="str">
        <x:v>연구 비교 집단</x:v>
      </x:c>
      <x:c r="B2" s="50" t="str">
        <x:v>Physical AI-enabled Hotel vs Conventional Human-service Hotel</x:v>
      </x:c>
    </x:row>
    <x:row r="3">
      <x:c r="A3" s="71" t="str">
        <x:v>Physical AI 포함 기준</x:v>
      </x:c>
      <x:c r="B3" s="50" t="str">
        <x:v>체크인·안내·고객응대·배송 등 고객 접점에서 물리적 로봇/embodied AI가 실제 서비스 기능을 수행.</x:v>
      </x:c>
    </x:row>
    <x:row r="4">
      <x:c r="A4" s="71" t="str">
        <x:v>Physical AI 제외 기준</x:v>
      </x:c>
      <x:c r="B4" s="50" t="str">
        <x:v>키오스크, mobile check-in, touch panel, digital signage, hologram만 있는 경우 제외.</x:v>
      </x:c>
    </x:row>
    <x:row r="5">
      <x:c r="A5" s="71" t="str">
        <x:v>Henn-na 처리</x:v>
      </x:c>
      <x:c r="B5" s="50" t="str">
        <x:v>체인 전체를 자동 포함하지 않고 지점별 현행 기술을 재판정. 25개 중 16개 유지, 9개 제외.</x:v>
      </x:c>
    </x:row>
    <x:row r="6">
      <x:c r="A6" s="71" t="str">
        <x:v>중국 기존 75개 처리</x:v>
      </x:c>
      <x:c r="B6" s="50" t="str">
        <x:v>원본 파일의 Trip.com Service robots / robot delivery 명시를 근거로 유지. 현행 페이지 일부를 재점검해 선정 규칙을 확인했으나, 본 파일은 75개 전부의 독립 재감사를 주장하지 않음.</x:v>
      </x:c>
    </x:row>
    <x:row r="7">
      <x:c r="A7" s="71" t="str">
        <x:v>대체 9개</x:v>
      </x:c>
      <x:c r="B7" s="50" t="str">
        <x:v>현재 Trip.com 시설 정보에 Service robots 또는 food/smart delivery robot이 명시된 호텔로 보충.</x:v>
      </x:c>
    </x:row>
    <x:row r="8">
      <x:c r="A8" s="71" t="str">
        <x:v>Conventional 매칭 순서</x:v>
      </x:c>
      <x:c r="B8" s="50" t="str">
        <x:v>같은 도시 → 같은/유사 성급 → 비슷한 가격대 → 가능하면 같은 브랜드/유사 브랜드 → 리뷰 규모 확인.</x:v>
      </x:c>
    </x:row>
    <x:row r="9">
      <x:c r="A9" s="71" t="str">
        <x:v>중요</x:v>
      </x:c>
      <x:c r="B9" s="50" t="str">
        <x:v>현재 Control_Seed_Pool은 최종 1:1 매칭표가 아니라 후보풀. Physical AI 호텔의 Trip.com star/동일 날짜 가격을 수집한 뒤 최종 매칭해야 함.</x:v>
      </x:c>
    </x:row>
    <x:row r="10">
      <x:c r="A10" s="71" t="str">
        <x:v>크롤링 권장 순서</x:v>
      </x:c>
      <x:c r="B10" s="50" t="str">
        <x:v>1) 최종 100 Physical AI의 star/가격/리뷰수 수집 → 2) 중국 등 부족 도시의 conventional 후보 추가 → 3) 1:1 매칭 → 4) 최종 pair만 리뷰 크롤링.</x:v>
      </x:c>
    </x:row>
    <x:row r="11">
      <x:c r="A11" s="71" t="str">
        <x:v>원본 파일</x:v>
      </x:c>
      <x:c r="B11" s="50" t="str">
        <x:v>무인호텔 리스트.xlsx / 유인호텔 리스트.xlsx</x:v>
      </x:c>
    </x:row>
    <x:row r="12">
      <x:c r="A12" s="72" t="str">
        <x:v>검토일</x:v>
      </x:c>
      <x:c r="B12" s="52" t="str">
        <x:v>2026-10-05</x:v>
      </x:c>
    </x:row>
  </x:sheetData>
  <x:pageMargins left="0.7" right="0.7" top="0.75" bottom="0.75" header="0.3" footer="0.3"/>
</x:worksheet>
</file>